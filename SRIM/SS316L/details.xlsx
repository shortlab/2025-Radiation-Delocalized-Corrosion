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IT Dropbox\Wande Cairang\MIT research\Metal RAC\Fe-20Cr\Draft\GitHub\SRIM\SS316L\"/>
    </mc:Choice>
  </mc:AlternateContent>
  <xr:revisionPtr revIDLastSave="0" documentId="13_ncr:1_{16F62D5E-A153-4216-8FA2-70BBBAEF3168}" xr6:coauthVersionLast="47" xr6:coauthVersionMax="47" xr10:uidLastSave="{00000000-0000-0000-0000-000000000000}"/>
  <bookViews>
    <workbookView xWindow="28680" yWindow="-3450" windowWidth="29040" windowHeight="15720" activeTab="1" xr2:uid="{00000000-000D-0000-FFFF-FFFF00000000}"/>
  </bookViews>
  <sheets>
    <sheet name="srim details" sheetId="1" r:id="rId1"/>
    <sheet name="dose rate " sheetId="2" r:id="rId2"/>
    <sheet name="Sheet2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H5" i="3"/>
  <c r="I4" i="2"/>
  <c r="S5" i="2"/>
  <c r="Q5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4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5" i="3"/>
  <c r="U4" i="2"/>
  <c r="U3" i="2"/>
  <c r="Q7" i="1" l="1"/>
  <c r="P7" i="1"/>
  <c r="O7" i="1"/>
  <c r="N7" i="1"/>
  <c r="M7" i="1"/>
  <c r="L7" i="1"/>
  <c r="L6" i="1"/>
</calcChain>
</file>

<file path=xl/sharedStrings.xml><?xml version="1.0" encoding="utf-8"?>
<sst xmlns="http://schemas.openxmlformats.org/spreadsheetml/2006/main" count="72" uniqueCount="36">
  <si>
    <t>Elements</t>
  </si>
  <si>
    <t>atomic mass</t>
  </si>
  <si>
    <t>Fe</t>
  </si>
  <si>
    <t>Ni</t>
  </si>
  <si>
    <t>Cr</t>
  </si>
  <si>
    <t xml:space="preserve">Si </t>
  </si>
  <si>
    <t>Pb</t>
  </si>
  <si>
    <t>Bi</t>
  </si>
  <si>
    <t>Mo</t>
  </si>
  <si>
    <t>Mn</t>
  </si>
  <si>
    <t>SS316L</t>
  </si>
  <si>
    <t>Si</t>
  </si>
  <si>
    <t>WT.%</t>
  </si>
  <si>
    <t>AT%</t>
  </si>
  <si>
    <t xml:space="preserve">beam current density(uA/cm2) </t>
  </si>
  <si>
    <t>TARGET</t>
  </si>
  <si>
    <t>VACANCIES</t>
  </si>
  <si>
    <t>DEPTH</t>
  </si>
  <si>
    <t>H</t>
  </si>
  <si>
    <t>Recoil</t>
  </si>
  <si>
    <t>by</t>
  </si>
  <si>
    <t>um</t>
  </si>
  <si>
    <t>(Ang.)</t>
  </si>
  <si>
    <t>Ions</t>
  </si>
  <si>
    <t>Distribution</t>
  </si>
  <si>
    <t>contration rate</t>
  </si>
  <si>
    <t>IONS</t>
  </si>
  <si>
    <t>RECOILS</t>
  </si>
  <si>
    <t>-----------</t>
  </si>
  <si>
    <t>----------</t>
  </si>
  <si>
    <t>------------</t>
  </si>
  <si>
    <t xml:space="preserve">Total damage </t>
  </si>
  <si>
    <t>Dpa rate</t>
  </si>
  <si>
    <t xml:space="preserve">Distance </t>
  </si>
  <si>
    <t>vacancy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</si>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</sst>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11" fontId="0" fillId="2" borderId="0" xfId="0" applyNumberFormat="1" applyFill="1"/>
    <xf numFmtId="11" fontId="0" fillId="0" borderId="0" xfId="0" applyNumberFormat="1"/>
    <xf numFmtId="11" fontId="0" fillId="3" borderId="0" xfId="0" applyNumberFormat="1" applyFill="1"/>
    <xf numFmtId="0" fontId="0" fillId="4" borderId="0" xfId="0" applyFill="1"/>
    <xf numFmtId="1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9</xdr:row>
      <xdr:rowOff>304800</xdr:rowOff>
    </xdr:from>
    <xdr:to>
      <xdr:col>13</xdr:col>
      <xdr:colOff>1608781</xdr:colOff>
      <xdr:row>36</xdr:row>
      <xdr:rowOff>8812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08A6D7-5D26-6EAC-06FB-E127FE9FD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0" y="2876550"/>
          <a:ext cx="7552381" cy="570476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22</xdr:col>
      <xdr:colOff>494356</xdr:colOff>
      <xdr:row>36</xdr:row>
      <xdr:rowOff>65962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31BC7B-D87C-8A15-0C5A-07624F3FB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63725" y="2933700"/>
          <a:ext cx="7552381" cy="570476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27</xdr:col>
      <xdr:colOff>131055</xdr:colOff>
      <xdr:row>89</xdr:row>
      <xdr:rowOff>189262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E89868-EB00-2EAF-C674-21307D76A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38900" y="8953500"/>
          <a:ext cx="18361905" cy="9904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de\MIT%20Dropbox\Wande%20Cairang\MIT%20research\Metal%20RAC\Fe-20Cr\Draft\SRIM\calculation.xlsx" TargetMode="External"/><Relationship Id="rId1" Type="http://schemas.openxmlformats.org/officeDocument/2006/relationships/externalLinkPath" Target="file:///C:\Users\wande\MIT%20Dropbox\Wande%20Cairang\MIT%20research\Metal%20RAC\Fe-20Cr\Draft\SRIM\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51">
          <cell r="P51">
            <v>8.8290572792362753E-9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R14"/>
  <sheetViews>
    <sheetView zoomScale="55" zoomScaleNormal="55" workbookViewId="0">
      <selection activeCell="H39" sqref="H39"/>
    </sheetView>
  </sheetViews>
  <sheetFormatPr defaultRowHeight="15" x14ac:dyDescent="0.25"/>
  <cols>
    <col min="5" max="5" width="16.5703125" customWidth="1"/>
    <col min="6" max="6" width="34.28515625" customWidth="1"/>
    <col min="11" max="11" width="16.42578125" customWidth="1"/>
    <col min="12" max="12" width="22.5703125" customWidth="1"/>
    <col min="13" max="13" width="26.140625" customWidth="1"/>
    <col min="14" max="14" width="29.28515625" customWidth="1"/>
    <col min="15" max="15" width="21.7109375" customWidth="1"/>
    <col min="16" max="16" width="26.140625" customWidth="1"/>
    <col min="17" max="17" width="12.28515625" customWidth="1"/>
  </cols>
  <sheetData>
    <row r="5" spans="5:18" ht="28.5" x14ac:dyDescent="0.45">
      <c r="E5" s="1" t="s">
        <v>0</v>
      </c>
      <c r="F5" s="1" t="s">
        <v>1</v>
      </c>
      <c r="K5" s="1" t="s">
        <v>10</v>
      </c>
      <c r="L5" s="1" t="s">
        <v>2</v>
      </c>
      <c r="M5" s="1" t="s">
        <v>3</v>
      </c>
      <c r="N5" s="1" t="s">
        <v>4</v>
      </c>
      <c r="O5" s="1" t="s">
        <v>8</v>
      </c>
      <c r="P5" s="1" t="s">
        <v>9</v>
      </c>
      <c r="Q5" s="1" t="s">
        <v>11</v>
      </c>
    </row>
    <row r="6" spans="5:18" ht="28.5" x14ac:dyDescent="0.45">
      <c r="E6" s="1" t="s">
        <v>2</v>
      </c>
      <c r="F6" s="1">
        <v>55.844999999999999</v>
      </c>
      <c r="K6" s="1" t="s">
        <v>12</v>
      </c>
      <c r="L6" s="1">
        <f>100-M6-N6-O6-P6-Q6</f>
        <v>68.95</v>
      </c>
      <c r="M6" s="1">
        <v>10.24</v>
      </c>
      <c r="N6" s="1">
        <v>16.36</v>
      </c>
      <c r="O6" s="1">
        <v>2.13</v>
      </c>
      <c r="P6" s="1">
        <v>1.79</v>
      </c>
      <c r="Q6" s="1">
        <v>0.53</v>
      </c>
      <c r="R6" s="1"/>
    </row>
    <row r="7" spans="5:18" ht="28.5" x14ac:dyDescent="0.45">
      <c r="E7" s="1" t="s">
        <v>3</v>
      </c>
      <c r="F7" s="1">
        <v>58.692999999999998</v>
      </c>
      <c r="K7" s="1" t="s">
        <v>13</v>
      </c>
      <c r="L7" s="1">
        <f>(L6/F6)/(L6/F6+M6/F7+N6/F8+O6/F9+P6/F10+Q6/F11)*100</f>
        <v>68.690526005721026</v>
      </c>
      <c r="M7" s="1">
        <f>(M6/F7)/(L6/F6+M6/F7+N6/F8+O6/F9+P6/F10+Q6/F11)*100</f>
        <v>9.7064520864671007</v>
      </c>
      <c r="N7" s="1">
        <f>(N6/F8)/(L6/F6+M6/F7+N6/F8+O6/F9+P6/F10+Q6/F11)*100</f>
        <v>17.504924060805497</v>
      </c>
      <c r="O7" s="1">
        <f>(O6/F9)/(L6/F6+M6/F7+N6/F8+O6/F9+P6/F10+Q6/F11)*100</f>
        <v>1.2350413297355989</v>
      </c>
      <c r="P7" s="1">
        <f>(P6/F10)/(L6/F6+M6/F7+N6/F8+O6/F9+P6/F10+Q6/F11)*100</f>
        <v>1.8129686686406177</v>
      </c>
      <c r="Q7" s="1">
        <f>(Q6/F11)/(L6/F6+M6/F7+N6/F8+O6/F9+P6/F10+Q6/F11)*100</f>
        <v>1.0500878486301597</v>
      </c>
      <c r="R7" s="1"/>
    </row>
    <row r="8" spans="5:18" ht="28.5" x14ac:dyDescent="0.45">
      <c r="E8" s="1" t="s">
        <v>4</v>
      </c>
      <c r="F8" s="1">
        <v>51.996000000000002</v>
      </c>
      <c r="L8" s="1"/>
      <c r="M8" s="1"/>
      <c r="N8" s="1"/>
      <c r="O8" s="1"/>
      <c r="P8" s="1"/>
      <c r="Q8" s="1"/>
      <c r="R8" s="1"/>
    </row>
    <row r="9" spans="5:18" ht="28.5" x14ac:dyDescent="0.45">
      <c r="E9" s="1" t="s">
        <v>8</v>
      </c>
      <c r="F9" s="1">
        <v>95.95</v>
      </c>
    </row>
    <row r="10" spans="5:18" ht="28.5" x14ac:dyDescent="0.45">
      <c r="E10" s="1" t="s">
        <v>9</v>
      </c>
      <c r="F10" s="1">
        <v>54.93</v>
      </c>
    </row>
    <row r="11" spans="5:18" ht="28.5" x14ac:dyDescent="0.45">
      <c r="E11" s="1" t="s">
        <v>5</v>
      </c>
      <c r="F11" s="1">
        <v>28.08</v>
      </c>
    </row>
    <row r="12" spans="5:18" ht="28.5" x14ac:dyDescent="0.45">
      <c r="E12" s="1" t="s">
        <v>6</v>
      </c>
      <c r="F12" s="1">
        <v>207.2</v>
      </c>
    </row>
    <row r="13" spans="5:18" ht="28.5" x14ac:dyDescent="0.45">
      <c r="E13" s="1" t="s">
        <v>7</v>
      </c>
      <c r="F13" s="1">
        <v>208.98</v>
      </c>
    </row>
    <row r="14" spans="5:18" ht="28.5" x14ac:dyDescent="0.45">
      <c r="F1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7E44-705B-400D-8760-DE09094D87EE}">
  <dimension ref="D1:U106"/>
  <sheetViews>
    <sheetView tabSelected="1" zoomScale="85" zoomScaleNormal="85" workbookViewId="0">
      <selection activeCell="T2" sqref="T2:U4"/>
    </sheetView>
  </sheetViews>
  <sheetFormatPr defaultRowHeight="15" x14ac:dyDescent="0.25"/>
  <cols>
    <col min="4" max="4" width="9.140625" style="2"/>
    <col min="9" max="9" width="36" style="2" customWidth="1"/>
    <col min="12" max="12" width="9.140625" style="3"/>
    <col min="13" max="13" width="20.7109375" customWidth="1"/>
    <col min="17" max="17" width="13.5703125" customWidth="1"/>
    <col min="19" max="19" width="9.140625" style="7"/>
    <col min="20" max="20" width="27.5703125" customWidth="1"/>
  </cols>
  <sheetData>
    <row r="1" spans="4:21" x14ac:dyDescent="0.25">
      <c r="E1" t="s">
        <v>17</v>
      </c>
      <c r="F1" t="s">
        <v>18</v>
      </c>
      <c r="G1" t="s">
        <v>19</v>
      </c>
      <c r="M1" t="s">
        <v>15</v>
      </c>
      <c r="N1" t="s">
        <v>16</v>
      </c>
      <c r="O1" t="s">
        <v>16</v>
      </c>
    </row>
    <row r="2" spans="4:21" x14ac:dyDescent="0.25">
      <c r="E2" t="s">
        <v>22</v>
      </c>
      <c r="F2" t="s">
        <v>23</v>
      </c>
      <c r="G2" t="s">
        <v>24</v>
      </c>
      <c r="M2" t="s">
        <v>17</v>
      </c>
      <c r="N2" t="s">
        <v>20</v>
      </c>
      <c r="O2" t="s">
        <v>20</v>
      </c>
      <c r="T2" t="s">
        <v>14</v>
      </c>
      <c r="U2">
        <v>0.4</v>
      </c>
    </row>
    <row r="3" spans="4:21" x14ac:dyDescent="0.25">
      <c r="E3" t="s">
        <v>28</v>
      </c>
      <c r="F3" t="s">
        <v>29</v>
      </c>
      <c r="G3" t="s">
        <v>30</v>
      </c>
      <c r="I3" s="2" t="s">
        <v>25</v>
      </c>
      <c r="M3" t="s">
        <v>22</v>
      </c>
      <c r="N3" t="s">
        <v>26</v>
      </c>
      <c r="O3" t="s">
        <v>27</v>
      </c>
      <c r="U3">
        <f>6.25*10^18</f>
        <v>6.25E+18</v>
      </c>
    </row>
    <row r="4" spans="4:21" x14ac:dyDescent="0.25">
      <c r="D4" s="4">
        <f>E4/10000</f>
        <v>0.55000100000000007</v>
      </c>
      <c r="E4" s="5">
        <v>5500.01</v>
      </c>
      <c r="F4" s="5">
        <v>0</v>
      </c>
      <c r="G4" s="5">
        <v>0</v>
      </c>
      <c r="I4" s="4">
        <f>[1]Sheet1!$P$51</f>
        <v>8.8290572792362753E-9</v>
      </c>
      <c r="L4" s="3" t="s">
        <v>21</v>
      </c>
      <c r="M4" t="s">
        <v>28</v>
      </c>
      <c r="N4" t="s">
        <v>28</v>
      </c>
      <c r="O4" t="s">
        <v>30</v>
      </c>
      <c r="Q4" t="s">
        <v>31</v>
      </c>
      <c r="S4" s="7" t="s">
        <v>32</v>
      </c>
      <c r="U4">
        <f>8.38*10^22</f>
        <v>8.380000000000001E+22</v>
      </c>
    </row>
    <row r="5" spans="4:21" x14ac:dyDescent="0.25">
      <c r="D5" s="4">
        <f t="shared" ref="D5:D68" si="0">E5/10000</f>
        <v>1.1000000000000001</v>
      </c>
      <c r="E5" s="5">
        <v>11000</v>
      </c>
      <c r="F5" s="5">
        <v>0.30113000000000001</v>
      </c>
      <c r="G5" s="5">
        <v>0</v>
      </c>
      <c r="I5" s="4">
        <f t="shared" ref="I5:I68" si="1">F5*$U$2*10^-6*$U$3/($U$4)*100</f>
        <v>8.9835918854415261E-10</v>
      </c>
      <c r="L5" s="6">
        <f>M5/10000</f>
        <v>0.55000100000000007</v>
      </c>
      <c r="M5" s="5">
        <v>5500.01</v>
      </c>
      <c r="N5" s="5">
        <v>1.27571E-6</v>
      </c>
      <c r="O5" s="5">
        <v>3.80457E-6</v>
      </c>
      <c r="Q5" s="5">
        <f>N5+O5</f>
        <v>5.0802799999999997E-6</v>
      </c>
      <c r="S5" s="8">
        <f>Q5*10^8*$U$2*10^-6*$U$3/($U$4)</f>
        <v>1.5155966587112168E-8</v>
      </c>
    </row>
    <row r="6" spans="4:21" x14ac:dyDescent="0.25">
      <c r="D6" s="4">
        <f t="shared" si="0"/>
        <v>1.65</v>
      </c>
      <c r="E6" s="5">
        <v>16500</v>
      </c>
      <c r="F6" s="5">
        <v>0</v>
      </c>
      <c r="G6" s="5">
        <v>0</v>
      </c>
      <c r="I6" s="4">
        <f t="shared" si="1"/>
        <v>0</v>
      </c>
      <c r="L6" s="6">
        <f t="shared" ref="L6:L69" si="2">M6/10000</f>
        <v>1.1000000000000001</v>
      </c>
      <c r="M6" s="5">
        <v>11000</v>
      </c>
      <c r="N6" s="5">
        <v>4.8621200000000001E-6</v>
      </c>
      <c r="O6" s="5">
        <v>8.1099800000000006E-6</v>
      </c>
      <c r="Q6" s="5">
        <f t="shared" ref="Q6:Q69" si="3">N6+O6</f>
        <v>1.2972100000000001E-5</v>
      </c>
      <c r="S6" s="8">
        <f t="shared" ref="S6:S69" si="4">Q6*10^8*$U$2*10^-6*$U$3/($U$4)</f>
        <v>3.8699582338902139E-8</v>
      </c>
    </row>
    <row r="7" spans="4:21" x14ac:dyDescent="0.25">
      <c r="D7" s="4">
        <f t="shared" si="0"/>
        <v>2.2000000000000002</v>
      </c>
      <c r="E7" s="5">
        <v>22000</v>
      </c>
      <c r="F7" s="5">
        <v>0.60226000000000002</v>
      </c>
      <c r="G7" s="5">
        <v>0</v>
      </c>
      <c r="H7" s="5"/>
      <c r="I7" s="4">
        <f t="shared" si="1"/>
        <v>1.7967183770883052E-9</v>
      </c>
      <c r="L7" s="6">
        <f t="shared" si="2"/>
        <v>1.65</v>
      </c>
      <c r="M7" s="5">
        <v>16500</v>
      </c>
      <c r="N7" s="5">
        <v>3.8451699999999996E-6</v>
      </c>
      <c r="O7" s="5">
        <v>6.5496400000000002E-6</v>
      </c>
      <c r="Q7" s="5">
        <f t="shared" si="3"/>
        <v>1.039481E-5</v>
      </c>
      <c r="S7" s="8">
        <f t="shared" si="4"/>
        <v>3.1010769689737468E-8</v>
      </c>
    </row>
    <row r="8" spans="4:21" x14ac:dyDescent="0.25">
      <c r="D8" s="4">
        <f t="shared" si="0"/>
        <v>2.75</v>
      </c>
      <c r="E8" s="5">
        <v>27500</v>
      </c>
      <c r="F8" s="5">
        <v>0</v>
      </c>
      <c r="G8" s="5">
        <v>0</v>
      </c>
      <c r="H8" s="5"/>
      <c r="I8" s="4">
        <f t="shared" si="1"/>
        <v>0</v>
      </c>
      <c r="L8" s="6">
        <f t="shared" si="2"/>
        <v>2.2000000000000002</v>
      </c>
      <c r="M8" s="5">
        <v>22000</v>
      </c>
      <c r="N8" s="5">
        <v>4.7778799999999999E-6</v>
      </c>
      <c r="O8" s="5">
        <v>1.2872599999999999E-5</v>
      </c>
      <c r="Q8" s="5">
        <f t="shared" si="3"/>
        <v>1.7650479999999998E-5</v>
      </c>
      <c r="S8" s="8">
        <f t="shared" si="4"/>
        <v>5.2656563245823383E-8</v>
      </c>
    </row>
    <row r="9" spans="4:21" x14ac:dyDescent="0.25">
      <c r="D9" s="4">
        <f t="shared" si="0"/>
        <v>3.3</v>
      </c>
      <c r="E9" s="5">
        <v>33000</v>
      </c>
      <c r="F9" s="5">
        <v>0.30113000000000001</v>
      </c>
      <c r="G9" s="5">
        <v>0</v>
      </c>
      <c r="H9" s="5"/>
      <c r="I9" s="4">
        <f t="shared" si="1"/>
        <v>8.9835918854415261E-10</v>
      </c>
      <c r="L9" s="6">
        <f t="shared" si="2"/>
        <v>2.75</v>
      </c>
      <c r="M9" s="5">
        <v>27500</v>
      </c>
      <c r="N9" s="5">
        <v>4.90124E-6</v>
      </c>
      <c r="O9" s="5">
        <v>1.7387100000000002E-5</v>
      </c>
      <c r="Q9" s="5">
        <f t="shared" si="3"/>
        <v>2.2288340000000001E-5</v>
      </c>
      <c r="S9" s="8">
        <f t="shared" si="4"/>
        <v>6.6492661097852038E-8</v>
      </c>
    </row>
    <row r="10" spans="4:21" x14ac:dyDescent="0.25">
      <c r="D10" s="4">
        <f t="shared" si="0"/>
        <v>3.85</v>
      </c>
      <c r="E10" s="5">
        <v>38500</v>
      </c>
      <c r="F10" s="5">
        <v>0.30113000000000001</v>
      </c>
      <c r="G10" s="5">
        <v>0</v>
      </c>
      <c r="H10" s="5"/>
      <c r="I10" s="4">
        <f t="shared" si="1"/>
        <v>8.9835918854415261E-10</v>
      </c>
      <c r="L10" s="6">
        <f t="shared" si="2"/>
        <v>3.3</v>
      </c>
      <c r="M10" s="5">
        <v>33000</v>
      </c>
      <c r="N10" s="5">
        <v>5.0276099999999998E-6</v>
      </c>
      <c r="O10" s="5">
        <v>8.3781000000000003E-6</v>
      </c>
      <c r="Q10" s="5">
        <f t="shared" si="3"/>
        <v>1.340571E-5</v>
      </c>
      <c r="S10" s="8">
        <f t="shared" si="4"/>
        <v>3.9993168257756553E-8</v>
      </c>
    </row>
    <row r="11" spans="4:21" x14ac:dyDescent="0.25">
      <c r="D11" s="4">
        <f t="shared" si="0"/>
        <v>4.4000000000000004</v>
      </c>
      <c r="E11" s="5">
        <v>44000</v>
      </c>
      <c r="F11" s="5">
        <v>0</v>
      </c>
      <c r="G11" s="5">
        <v>0</v>
      </c>
      <c r="H11" s="5"/>
      <c r="I11" s="4">
        <f t="shared" si="1"/>
        <v>0</v>
      </c>
      <c r="L11" s="6">
        <f t="shared" si="2"/>
        <v>3.85</v>
      </c>
      <c r="M11" s="5">
        <v>38500</v>
      </c>
      <c r="N11" s="5">
        <v>5.1630000000000004E-6</v>
      </c>
      <c r="O11" s="5">
        <v>1.6007100000000001E-5</v>
      </c>
      <c r="Q11" s="5">
        <f t="shared" si="3"/>
        <v>2.1170100000000003E-5</v>
      </c>
      <c r="S11" s="8">
        <f t="shared" si="4"/>
        <v>6.3156622911694509E-8</v>
      </c>
    </row>
    <row r="12" spans="4:21" x14ac:dyDescent="0.25">
      <c r="D12" s="4">
        <f t="shared" si="0"/>
        <v>4.95</v>
      </c>
      <c r="E12" s="5">
        <v>49500</v>
      </c>
      <c r="F12" s="5">
        <v>0.30113000000000001</v>
      </c>
      <c r="G12" s="5">
        <v>0</v>
      </c>
      <c r="H12" s="5"/>
      <c r="I12" s="4">
        <f t="shared" si="1"/>
        <v>8.9835918854415261E-10</v>
      </c>
      <c r="L12" s="6">
        <f t="shared" si="2"/>
        <v>4.4000000000000004</v>
      </c>
      <c r="M12" s="5">
        <v>44000</v>
      </c>
      <c r="N12" s="5">
        <v>5.2021100000000004E-6</v>
      </c>
      <c r="O12" s="5">
        <v>1.46489E-5</v>
      </c>
      <c r="Q12" s="5">
        <f t="shared" si="3"/>
        <v>1.9851010000000001E-5</v>
      </c>
      <c r="S12" s="8">
        <f t="shared" si="4"/>
        <v>5.922139021479713E-8</v>
      </c>
    </row>
    <row r="13" spans="4:21" x14ac:dyDescent="0.25">
      <c r="D13" s="4">
        <f t="shared" si="0"/>
        <v>5.5</v>
      </c>
      <c r="E13" s="5">
        <v>55000</v>
      </c>
      <c r="F13" s="5">
        <v>0.30113000000000001</v>
      </c>
      <c r="G13" s="5">
        <v>0</v>
      </c>
      <c r="H13" s="5"/>
      <c r="I13" s="4">
        <f t="shared" si="1"/>
        <v>8.9835918854415261E-10</v>
      </c>
      <c r="L13" s="6">
        <f t="shared" si="2"/>
        <v>4.95</v>
      </c>
      <c r="M13" s="5">
        <v>49500</v>
      </c>
      <c r="N13" s="5">
        <v>5.3104300000000004E-6</v>
      </c>
      <c r="O13" s="5">
        <v>8.7866600000000007E-6</v>
      </c>
      <c r="Q13" s="5">
        <f t="shared" si="3"/>
        <v>1.409709E-5</v>
      </c>
      <c r="S13" s="8">
        <f t="shared" si="4"/>
        <v>4.2055757756563232E-8</v>
      </c>
    </row>
    <row r="14" spans="4:21" x14ac:dyDescent="0.25">
      <c r="D14" s="4">
        <f t="shared" si="0"/>
        <v>6.05</v>
      </c>
      <c r="E14" s="5">
        <v>60500</v>
      </c>
      <c r="F14" s="5">
        <v>0</v>
      </c>
      <c r="G14" s="5">
        <v>0</v>
      </c>
      <c r="H14" s="5"/>
      <c r="I14" s="4">
        <f t="shared" si="1"/>
        <v>0</v>
      </c>
      <c r="L14" s="6">
        <f t="shared" si="2"/>
        <v>5.5</v>
      </c>
      <c r="M14" s="5">
        <v>55000</v>
      </c>
      <c r="N14" s="5">
        <v>5.2953799999999996E-6</v>
      </c>
      <c r="O14" s="5">
        <v>1.9108400000000002E-5</v>
      </c>
      <c r="Q14" s="5">
        <f t="shared" si="3"/>
        <v>2.440378E-5</v>
      </c>
      <c r="S14" s="8">
        <f t="shared" si="4"/>
        <v>7.2803639618138422E-8</v>
      </c>
    </row>
    <row r="15" spans="4:21" x14ac:dyDescent="0.25">
      <c r="D15" s="4">
        <f t="shared" si="0"/>
        <v>6.6</v>
      </c>
      <c r="E15" s="5">
        <v>66000</v>
      </c>
      <c r="F15" s="5">
        <v>0.30113000000000001</v>
      </c>
      <c r="G15" s="5">
        <v>0</v>
      </c>
      <c r="H15" s="5"/>
      <c r="I15" s="4">
        <f t="shared" si="1"/>
        <v>8.9835918854415261E-10</v>
      </c>
      <c r="L15" s="6">
        <f t="shared" si="2"/>
        <v>6.05</v>
      </c>
      <c r="M15" s="5">
        <v>60500</v>
      </c>
      <c r="N15" s="5">
        <v>5.4879399999999998E-6</v>
      </c>
      <c r="O15" s="5">
        <v>1.6173700000000001E-5</v>
      </c>
      <c r="Q15" s="5">
        <f t="shared" si="3"/>
        <v>2.1661639999999999E-5</v>
      </c>
      <c r="S15" s="8">
        <f t="shared" si="4"/>
        <v>6.4623031026252981E-8</v>
      </c>
    </row>
    <row r="16" spans="4:21" x14ac:dyDescent="0.25">
      <c r="D16" s="4">
        <f t="shared" si="0"/>
        <v>7.15</v>
      </c>
      <c r="E16" s="5">
        <v>71500</v>
      </c>
      <c r="F16" s="5">
        <v>0.30113000000000001</v>
      </c>
      <c r="G16" s="5">
        <v>0</v>
      </c>
      <c r="H16" s="5"/>
      <c r="I16" s="4">
        <f t="shared" si="1"/>
        <v>8.9835918854415261E-10</v>
      </c>
      <c r="L16" s="6">
        <f t="shared" si="2"/>
        <v>6.6</v>
      </c>
      <c r="M16" s="5">
        <v>66000</v>
      </c>
      <c r="N16" s="5">
        <v>5.4578599999999996E-6</v>
      </c>
      <c r="O16" s="5">
        <v>9.6763499999999993E-6</v>
      </c>
      <c r="Q16" s="5">
        <f t="shared" si="3"/>
        <v>1.5134209999999999E-5</v>
      </c>
      <c r="S16" s="8">
        <f t="shared" si="4"/>
        <v>4.5149791169451065E-8</v>
      </c>
    </row>
    <row r="17" spans="4:19" x14ac:dyDescent="0.25">
      <c r="D17" s="4">
        <f t="shared" si="0"/>
        <v>7.7</v>
      </c>
      <c r="E17" s="5">
        <v>77000</v>
      </c>
      <c r="F17" s="5">
        <v>0.30113000000000001</v>
      </c>
      <c r="G17" s="5">
        <v>0</v>
      </c>
      <c r="H17" s="5"/>
      <c r="I17" s="4">
        <f t="shared" si="1"/>
        <v>8.9835918854415261E-10</v>
      </c>
      <c r="L17" s="6">
        <f t="shared" si="2"/>
        <v>7.15</v>
      </c>
      <c r="M17" s="5">
        <v>71500</v>
      </c>
      <c r="N17" s="5">
        <v>5.6895299999999999E-6</v>
      </c>
      <c r="O17" s="5">
        <v>9.6929699999999998E-6</v>
      </c>
      <c r="Q17" s="5">
        <f t="shared" si="3"/>
        <v>1.5382500000000001E-5</v>
      </c>
      <c r="S17" s="8">
        <f t="shared" si="4"/>
        <v>4.5890513126491649E-8</v>
      </c>
    </row>
    <row r="18" spans="4:19" x14ac:dyDescent="0.25">
      <c r="D18" s="4">
        <f t="shared" si="0"/>
        <v>8.25</v>
      </c>
      <c r="E18" s="5">
        <v>82500</v>
      </c>
      <c r="F18" s="5">
        <v>0</v>
      </c>
      <c r="G18" s="5">
        <v>0</v>
      </c>
      <c r="H18" s="5"/>
      <c r="I18" s="4">
        <f t="shared" si="1"/>
        <v>0</v>
      </c>
      <c r="L18" s="6">
        <f t="shared" si="2"/>
        <v>7.7</v>
      </c>
      <c r="M18" s="5">
        <v>77000</v>
      </c>
      <c r="N18" s="5">
        <v>5.8008499999999997E-6</v>
      </c>
      <c r="O18" s="5">
        <v>1.17394E-5</v>
      </c>
      <c r="Q18" s="5">
        <f t="shared" si="3"/>
        <v>1.7540249999999999E-5</v>
      </c>
      <c r="S18" s="8">
        <f t="shared" si="4"/>
        <v>5.2327714797136035E-8</v>
      </c>
    </row>
    <row r="19" spans="4:19" x14ac:dyDescent="0.25">
      <c r="D19" s="4">
        <f t="shared" si="0"/>
        <v>8.8000000000000007</v>
      </c>
      <c r="E19" s="5">
        <v>88000</v>
      </c>
      <c r="F19" s="5">
        <v>0.30113000000000001</v>
      </c>
      <c r="G19" s="5">
        <v>0</v>
      </c>
      <c r="H19" s="5"/>
      <c r="I19" s="4">
        <f t="shared" si="1"/>
        <v>8.9835918854415261E-10</v>
      </c>
      <c r="L19" s="6">
        <f t="shared" si="2"/>
        <v>8.25</v>
      </c>
      <c r="M19" s="5">
        <v>82500</v>
      </c>
      <c r="N19" s="5">
        <v>5.8820900000000001E-6</v>
      </c>
      <c r="O19" s="5">
        <v>1.09693E-5</v>
      </c>
      <c r="Q19" s="5">
        <f t="shared" si="3"/>
        <v>1.6851389999999999E-5</v>
      </c>
      <c r="S19" s="8">
        <f t="shared" si="4"/>
        <v>5.0272643198090684E-8</v>
      </c>
    </row>
    <row r="20" spans="4:19" x14ac:dyDescent="0.25">
      <c r="D20" s="4">
        <f t="shared" si="0"/>
        <v>9.35</v>
      </c>
      <c r="E20" s="5">
        <v>93500</v>
      </c>
      <c r="F20" s="5">
        <v>0.90337999999999996</v>
      </c>
      <c r="G20" s="5">
        <v>0</v>
      </c>
      <c r="H20" s="5"/>
      <c r="I20" s="4">
        <f t="shared" si="1"/>
        <v>2.6950477326968968E-9</v>
      </c>
      <c r="L20" s="6">
        <f t="shared" si="2"/>
        <v>8.8000000000000007</v>
      </c>
      <c r="M20" s="5">
        <v>88000</v>
      </c>
      <c r="N20" s="5">
        <v>5.7948300000000004E-6</v>
      </c>
      <c r="O20" s="5">
        <v>1.5832300000000001E-5</v>
      </c>
      <c r="Q20" s="5">
        <f t="shared" si="3"/>
        <v>2.162713E-5</v>
      </c>
      <c r="S20" s="8">
        <f t="shared" si="4"/>
        <v>6.4520077565632468E-8</v>
      </c>
    </row>
    <row r="21" spans="4:19" x14ac:dyDescent="0.25">
      <c r="D21" s="4">
        <f t="shared" si="0"/>
        <v>9.9</v>
      </c>
      <c r="E21" s="5">
        <v>99000</v>
      </c>
      <c r="F21" s="5">
        <v>0.30113000000000001</v>
      </c>
      <c r="G21" s="5">
        <v>0</v>
      </c>
      <c r="H21" s="5"/>
      <c r="I21" s="4">
        <f t="shared" si="1"/>
        <v>8.9835918854415261E-10</v>
      </c>
      <c r="L21" s="6">
        <f t="shared" si="2"/>
        <v>9.35</v>
      </c>
      <c r="M21" s="5">
        <v>93500</v>
      </c>
      <c r="N21" s="5">
        <v>5.9272200000000003E-6</v>
      </c>
      <c r="O21" s="5">
        <v>1.0733900000000001E-5</v>
      </c>
      <c r="Q21" s="5">
        <f t="shared" si="3"/>
        <v>1.666112E-5</v>
      </c>
      <c r="S21" s="8">
        <f t="shared" si="4"/>
        <v>4.970501193317422E-8</v>
      </c>
    </row>
    <row r="22" spans="4:19" x14ac:dyDescent="0.25">
      <c r="D22" s="4">
        <f t="shared" si="0"/>
        <v>10.45</v>
      </c>
      <c r="E22" s="5">
        <v>104500</v>
      </c>
      <c r="F22" s="5">
        <v>0</v>
      </c>
      <c r="G22" s="5">
        <v>0</v>
      </c>
      <c r="H22" s="5"/>
      <c r="I22" s="4">
        <f t="shared" si="1"/>
        <v>0</v>
      </c>
      <c r="L22" s="6">
        <f t="shared" si="2"/>
        <v>9.9</v>
      </c>
      <c r="M22" s="5">
        <v>99000</v>
      </c>
      <c r="N22" s="5">
        <v>5.9813800000000003E-6</v>
      </c>
      <c r="O22" s="5">
        <v>1.0460499999999999E-5</v>
      </c>
      <c r="Q22" s="5">
        <f t="shared" si="3"/>
        <v>1.6441880000000001E-5</v>
      </c>
      <c r="S22" s="8">
        <f t="shared" si="4"/>
        <v>4.9050954653937949E-8</v>
      </c>
    </row>
    <row r="23" spans="4:19" x14ac:dyDescent="0.25">
      <c r="D23" s="4">
        <f t="shared" si="0"/>
        <v>11</v>
      </c>
      <c r="E23" s="5">
        <v>110000</v>
      </c>
      <c r="F23" s="5">
        <v>0.30113000000000001</v>
      </c>
      <c r="G23" s="5">
        <v>0</v>
      </c>
      <c r="H23" s="5"/>
      <c r="I23" s="4">
        <f t="shared" si="1"/>
        <v>8.9835918854415261E-10</v>
      </c>
      <c r="L23" s="6">
        <f t="shared" si="2"/>
        <v>10.45</v>
      </c>
      <c r="M23" s="5">
        <v>104500</v>
      </c>
      <c r="N23" s="5">
        <v>5.8580200000000002E-6</v>
      </c>
      <c r="O23" s="5">
        <v>1.58799E-5</v>
      </c>
      <c r="Q23" s="5">
        <f t="shared" si="3"/>
        <v>2.1737920000000002E-5</v>
      </c>
      <c r="S23" s="8">
        <f t="shared" si="4"/>
        <v>6.4850596658711218E-8</v>
      </c>
    </row>
    <row r="24" spans="4:19" x14ac:dyDescent="0.25">
      <c r="D24" s="4">
        <f t="shared" si="0"/>
        <v>11.55</v>
      </c>
      <c r="E24" s="5">
        <v>115500</v>
      </c>
      <c r="F24" s="5">
        <v>0</v>
      </c>
      <c r="G24" s="5">
        <v>0</v>
      </c>
      <c r="H24" s="5"/>
      <c r="I24" s="4">
        <f t="shared" si="1"/>
        <v>0</v>
      </c>
      <c r="L24" s="6">
        <f t="shared" si="2"/>
        <v>11</v>
      </c>
      <c r="M24" s="5">
        <v>110000</v>
      </c>
      <c r="N24" s="5">
        <v>6.17995E-6</v>
      </c>
      <c r="O24" s="5">
        <v>1.2602800000000001E-5</v>
      </c>
      <c r="Q24" s="5">
        <f t="shared" si="3"/>
        <v>1.8782750000000002E-5</v>
      </c>
      <c r="S24" s="8">
        <f t="shared" si="4"/>
        <v>5.60344570405728E-8</v>
      </c>
    </row>
    <row r="25" spans="4:19" x14ac:dyDescent="0.25">
      <c r="D25" s="4">
        <f t="shared" si="0"/>
        <v>12.1</v>
      </c>
      <c r="E25" s="5">
        <v>121000</v>
      </c>
      <c r="F25" s="5">
        <v>0</v>
      </c>
      <c r="G25" s="5">
        <v>0</v>
      </c>
      <c r="H25" s="5"/>
      <c r="I25" s="4">
        <f t="shared" si="1"/>
        <v>0</v>
      </c>
      <c r="L25" s="6">
        <f t="shared" si="2"/>
        <v>11.55</v>
      </c>
      <c r="M25" s="5">
        <v>115500</v>
      </c>
      <c r="N25" s="5">
        <v>6.2431399999999998E-6</v>
      </c>
      <c r="O25" s="5">
        <v>8.6898699999999992E-6</v>
      </c>
      <c r="Q25" s="5">
        <f t="shared" si="3"/>
        <v>1.4933009999999998E-5</v>
      </c>
      <c r="S25" s="8">
        <f t="shared" si="4"/>
        <v>4.4549552505966576E-8</v>
      </c>
    </row>
    <row r="26" spans="4:19" x14ac:dyDescent="0.25">
      <c r="D26" s="4">
        <f t="shared" si="0"/>
        <v>12.65</v>
      </c>
      <c r="E26" s="5">
        <v>126500</v>
      </c>
      <c r="F26" s="5">
        <v>0.60226000000000002</v>
      </c>
      <c r="G26" s="5">
        <v>0</v>
      </c>
      <c r="H26" s="5"/>
      <c r="I26" s="4">
        <f t="shared" si="1"/>
        <v>1.7967183770883052E-9</v>
      </c>
      <c r="L26" s="6">
        <f t="shared" si="2"/>
        <v>12.1</v>
      </c>
      <c r="M26" s="5">
        <v>121000</v>
      </c>
      <c r="N26" s="5">
        <v>6.2311000000000004E-6</v>
      </c>
      <c r="O26" s="5">
        <v>1.44144E-5</v>
      </c>
      <c r="Q26" s="5">
        <f t="shared" si="3"/>
        <v>2.0645500000000001E-5</v>
      </c>
      <c r="S26" s="8">
        <f t="shared" si="4"/>
        <v>6.1591587112171843E-8</v>
      </c>
    </row>
    <row r="27" spans="4:19" x14ac:dyDescent="0.25">
      <c r="D27" s="4">
        <f t="shared" si="0"/>
        <v>13.2</v>
      </c>
      <c r="E27" s="5">
        <v>132000</v>
      </c>
      <c r="F27" s="5">
        <v>0.30113000000000001</v>
      </c>
      <c r="G27" s="5">
        <v>0</v>
      </c>
      <c r="H27" s="5"/>
      <c r="I27" s="4">
        <f t="shared" si="1"/>
        <v>8.9835918854415261E-10</v>
      </c>
      <c r="L27" s="6">
        <f t="shared" si="2"/>
        <v>12.65</v>
      </c>
      <c r="M27" s="5">
        <v>126500</v>
      </c>
      <c r="N27" s="5">
        <v>6.3604799999999998E-6</v>
      </c>
      <c r="O27" s="5">
        <v>1.22687E-5</v>
      </c>
      <c r="Q27" s="5">
        <f t="shared" si="3"/>
        <v>1.862918E-5</v>
      </c>
      <c r="S27" s="8">
        <f t="shared" si="4"/>
        <v>5.5576312649164669E-8</v>
      </c>
    </row>
    <row r="28" spans="4:19" x14ac:dyDescent="0.25">
      <c r="D28" s="4">
        <f t="shared" si="0"/>
        <v>13.75</v>
      </c>
      <c r="E28" s="5">
        <v>137500</v>
      </c>
      <c r="F28" s="5">
        <v>0.60226000000000002</v>
      </c>
      <c r="G28" s="5">
        <v>0</v>
      </c>
      <c r="H28" s="5"/>
      <c r="I28" s="4">
        <f t="shared" si="1"/>
        <v>1.7967183770883052E-9</v>
      </c>
      <c r="L28" s="6">
        <f t="shared" si="2"/>
        <v>13.2</v>
      </c>
      <c r="M28" s="5">
        <v>132000</v>
      </c>
      <c r="N28" s="5">
        <v>6.45977E-6</v>
      </c>
      <c r="O28" s="5">
        <v>1.30322E-5</v>
      </c>
      <c r="Q28" s="5">
        <f t="shared" si="3"/>
        <v>1.949197E-5</v>
      </c>
      <c r="S28" s="8">
        <f t="shared" si="4"/>
        <v>5.8150268496420038E-8</v>
      </c>
    </row>
    <row r="29" spans="4:19" x14ac:dyDescent="0.25">
      <c r="D29" s="4">
        <f t="shared" si="0"/>
        <v>14.3</v>
      </c>
      <c r="E29" s="5">
        <v>143000</v>
      </c>
      <c r="F29" s="5">
        <v>0.60226000000000002</v>
      </c>
      <c r="G29" s="5">
        <v>0</v>
      </c>
      <c r="H29" s="5"/>
      <c r="I29" s="4">
        <f t="shared" si="1"/>
        <v>1.7967183770883052E-9</v>
      </c>
      <c r="L29" s="6">
        <f t="shared" si="2"/>
        <v>13.75</v>
      </c>
      <c r="M29" s="5">
        <v>137500</v>
      </c>
      <c r="N29" s="5">
        <v>6.28827E-6</v>
      </c>
      <c r="O29" s="5">
        <v>1.6736400000000001E-5</v>
      </c>
      <c r="Q29" s="5">
        <f t="shared" si="3"/>
        <v>2.3024670000000001E-5</v>
      </c>
      <c r="S29" s="8">
        <f t="shared" si="4"/>
        <v>6.868934964200478E-8</v>
      </c>
    </row>
    <row r="30" spans="4:19" x14ac:dyDescent="0.25">
      <c r="D30" s="4">
        <f t="shared" si="0"/>
        <v>14.85</v>
      </c>
      <c r="E30" s="5">
        <v>148500</v>
      </c>
      <c r="F30" s="5">
        <v>0.60226000000000002</v>
      </c>
      <c r="G30" s="5">
        <v>0</v>
      </c>
      <c r="H30" s="5"/>
      <c r="I30" s="4">
        <f t="shared" si="1"/>
        <v>1.7967183770883052E-9</v>
      </c>
      <c r="L30" s="6">
        <f t="shared" si="2"/>
        <v>14.3</v>
      </c>
      <c r="M30" s="5">
        <v>143000</v>
      </c>
      <c r="N30" s="5">
        <v>6.55304E-6</v>
      </c>
      <c r="O30" s="5">
        <v>1.4004200000000001E-5</v>
      </c>
      <c r="Q30" s="5">
        <f t="shared" si="3"/>
        <v>2.055724E-5</v>
      </c>
      <c r="S30" s="8">
        <f t="shared" si="4"/>
        <v>6.1328281622911687E-8</v>
      </c>
    </row>
    <row r="31" spans="4:19" x14ac:dyDescent="0.25">
      <c r="D31" s="4">
        <f t="shared" si="0"/>
        <v>15.4</v>
      </c>
      <c r="E31" s="5">
        <v>154000</v>
      </c>
      <c r="F31" s="5">
        <v>0.30113000000000001</v>
      </c>
      <c r="G31" s="5">
        <v>0</v>
      </c>
      <c r="H31" s="5"/>
      <c r="I31" s="4">
        <f t="shared" si="1"/>
        <v>8.9835918854415261E-10</v>
      </c>
      <c r="L31" s="6">
        <f t="shared" si="2"/>
        <v>14.85</v>
      </c>
      <c r="M31" s="5">
        <v>148500</v>
      </c>
      <c r="N31" s="5">
        <v>6.6763900000000003E-6</v>
      </c>
      <c r="O31" s="5">
        <v>1.2840099999999999E-5</v>
      </c>
      <c r="Q31" s="5">
        <f t="shared" si="3"/>
        <v>1.9516490000000001E-5</v>
      </c>
      <c r="S31" s="8">
        <f t="shared" si="4"/>
        <v>5.8223418854415268E-8</v>
      </c>
    </row>
    <row r="32" spans="4:19" x14ac:dyDescent="0.25">
      <c r="D32" s="4">
        <f t="shared" si="0"/>
        <v>15.95</v>
      </c>
      <c r="E32" s="5">
        <v>159500</v>
      </c>
      <c r="F32" s="5">
        <v>0.30113000000000001</v>
      </c>
      <c r="G32" s="5">
        <v>0</v>
      </c>
      <c r="H32" s="5"/>
      <c r="I32" s="4">
        <f t="shared" si="1"/>
        <v>8.9835918854415261E-10</v>
      </c>
      <c r="L32" s="6">
        <f t="shared" si="2"/>
        <v>15.4</v>
      </c>
      <c r="M32" s="5">
        <v>154000</v>
      </c>
      <c r="N32" s="5">
        <v>6.9772699999999997E-6</v>
      </c>
      <c r="O32" s="5">
        <v>1.19581E-5</v>
      </c>
      <c r="Q32" s="5">
        <f t="shared" si="3"/>
        <v>1.893537E-5</v>
      </c>
      <c r="S32" s="8">
        <f t="shared" si="4"/>
        <v>5.6489767303102621E-8</v>
      </c>
    </row>
    <row r="33" spans="4:19" x14ac:dyDescent="0.25">
      <c r="D33" s="4">
        <f t="shared" si="0"/>
        <v>16.5</v>
      </c>
      <c r="E33" s="5">
        <v>165000</v>
      </c>
      <c r="F33" s="5">
        <v>0.30113000000000001</v>
      </c>
      <c r="G33" s="5">
        <v>0</v>
      </c>
      <c r="H33" s="5"/>
      <c r="I33" s="4">
        <f t="shared" si="1"/>
        <v>8.9835918854415261E-10</v>
      </c>
      <c r="L33" s="6">
        <f t="shared" si="2"/>
        <v>15.95</v>
      </c>
      <c r="M33" s="5">
        <v>159500</v>
      </c>
      <c r="N33" s="5">
        <v>7.1668200000000003E-6</v>
      </c>
      <c r="O33" s="5">
        <v>1.5360099999999999E-5</v>
      </c>
      <c r="Q33" s="5">
        <f t="shared" si="3"/>
        <v>2.2526919999999997E-5</v>
      </c>
      <c r="S33" s="8">
        <f t="shared" si="4"/>
        <v>6.7204415274462968E-8</v>
      </c>
    </row>
    <row r="34" spans="4:19" x14ac:dyDescent="0.25">
      <c r="D34" s="4">
        <f t="shared" si="0"/>
        <v>17.05</v>
      </c>
      <c r="E34" s="5">
        <v>170500</v>
      </c>
      <c r="F34" s="5">
        <v>1.5056</v>
      </c>
      <c r="G34" s="5">
        <v>0</v>
      </c>
      <c r="H34" s="5"/>
      <c r="I34" s="4">
        <f t="shared" si="1"/>
        <v>4.4916467780429593E-9</v>
      </c>
      <c r="L34" s="6">
        <f t="shared" si="2"/>
        <v>16.5</v>
      </c>
      <c r="M34" s="5">
        <v>165000</v>
      </c>
      <c r="N34" s="5">
        <v>7.1788499999999999E-6</v>
      </c>
      <c r="O34" s="5">
        <v>1.5044900000000001E-5</v>
      </c>
      <c r="Q34" s="5">
        <f t="shared" si="3"/>
        <v>2.2223749999999999E-5</v>
      </c>
      <c r="S34" s="8">
        <f t="shared" si="4"/>
        <v>6.6299970167064426E-8</v>
      </c>
    </row>
    <row r="35" spans="4:19" x14ac:dyDescent="0.25">
      <c r="D35" s="4">
        <f t="shared" si="0"/>
        <v>17.600000000000001</v>
      </c>
      <c r="E35" s="5">
        <v>176000</v>
      </c>
      <c r="F35" s="5">
        <v>0.90337999999999996</v>
      </c>
      <c r="G35" s="5">
        <v>0</v>
      </c>
      <c r="H35" s="5"/>
      <c r="I35" s="4">
        <f t="shared" si="1"/>
        <v>2.6950477326968968E-9</v>
      </c>
      <c r="L35" s="6">
        <f t="shared" si="2"/>
        <v>17.05</v>
      </c>
      <c r="M35" s="5">
        <v>170500</v>
      </c>
      <c r="N35" s="5">
        <v>7.20894E-6</v>
      </c>
      <c r="O35" s="5">
        <v>1.5437499999999999E-5</v>
      </c>
      <c r="Q35" s="5">
        <f t="shared" si="3"/>
        <v>2.264644E-5</v>
      </c>
      <c r="S35" s="8">
        <f t="shared" si="4"/>
        <v>6.756097852028638E-8</v>
      </c>
    </row>
    <row r="36" spans="4:19" x14ac:dyDescent="0.25">
      <c r="D36" s="4">
        <f t="shared" si="0"/>
        <v>18.149999999999999</v>
      </c>
      <c r="E36" s="5">
        <v>181500</v>
      </c>
      <c r="F36" s="5">
        <v>0.60226000000000002</v>
      </c>
      <c r="G36" s="5">
        <v>0</v>
      </c>
      <c r="H36" s="5"/>
      <c r="I36" s="4">
        <f t="shared" si="1"/>
        <v>1.7967183770883052E-9</v>
      </c>
      <c r="L36" s="6">
        <f t="shared" si="2"/>
        <v>17.600000000000001</v>
      </c>
      <c r="M36" s="5">
        <v>176000</v>
      </c>
      <c r="N36" s="5">
        <v>7.4285799999999998E-6</v>
      </c>
      <c r="O36" s="5">
        <v>1.17464E-5</v>
      </c>
      <c r="Q36" s="5">
        <f t="shared" si="3"/>
        <v>1.9174980000000001E-5</v>
      </c>
      <c r="S36" s="8">
        <f t="shared" si="4"/>
        <v>5.7204594272076364E-8</v>
      </c>
    </row>
    <row r="37" spans="4:19" x14ac:dyDescent="0.25">
      <c r="D37" s="4">
        <f t="shared" si="0"/>
        <v>18.7</v>
      </c>
      <c r="E37" s="5">
        <v>187000</v>
      </c>
      <c r="F37" s="5">
        <v>0.90337999999999996</v>
      </c>
      <c r="G37" s="5">
        <v>0</v>
      </c>
      <c r="H37" s="5"/>
      <c r="I37" s="4">
        <f t="shared" si="1"/>
        <v>2.6950477326968968E-9</v>
      </c>
      <c r="L37" s="6">
        <f t="shared" si="2"/>
        <v>18.149999999999999</v>
      </c>
      <c r="M37" s="5">
        <v>181500</v>
      </c>
      <c r="N37" s="5">
        <v>7.5007900000000004E-6</v>
      </c>
      <c r="O37" s="5">
        <v>1.7257300000000002E-5</v>
      </c>
      <c r="Q37" s="5">
        <f t="shared" si="3"/>
        <v>2.4758090000000002E-5</v>
      </c>
      <c r="S37" s="8">
        <f t="shared" si="4"/>
        <v>7.3860650357995236E-8</v>
      </c>
    </row>
    <row r="38" spans="4:19" x14ac:dyDescent="0.25">
      <c r="D38" s="4">
        <f t="shared" si="0"/>
        <v>19.25</v>
      </c>
      <c r="E38" s="5">
        <v>192500</v>
      </c>
      <c r="F38" s="5">
        <v>1.5056</v>
      </c>
      <c r="G38" s="5">
        <v>0</v>
      </c>
      <c r="H38" s="5"/>
      <c r="I38" s="4">
        <f t="shared" si="1"/>
        <v>4.4916467780429593E-9</v>
      </c>
      <c r="L38" s="6">
        <f t="shared" si="2"/>
        <v>18.7</v>
      </c>
      <c r="M38" s="5">
        <v>187000</v>
      </c>
      <c r="N38" s="5">
        <v>7.7414899999999996E-6</v>
      </c>
      <c r="O38" s="5">
        <v>1.34053E-5</v>
      </c>
      <c r="Q38" s="5">
        <f t="shared" si="3"/>
        <v>2.1146789999999998E-5</v>
      </c>
      <c r="S38" s="8">
        <f t="shared" si="4"/>
        <v>6.3087082338902125E-8</v>
      </c>
    </row>
    <row r="39" spans="4:19" x14ac:dyDescent="0.25">
      <c r="D39" s="4">
        <f t="shared" si="0"/>
        <v>19.8</v>
      </c>
      <c r="E39" s="5">
        <v>198000</v>
      </c>
      <c r="F39" s="5">
        <v>1.5056</v>
      </c>
      <c r="G39" s="5">
        <v>0</v>
      </c>
      <c r="H39" s="5"/>
      <c r="I39" s="4">
        <f t="shared" si="1"/>
        <v>4.4916467780429593E-9</v>
      </c>
      <c r="L39" s="6">
        <f t="shared" si="2"/>
        <v>19.25</v>
      </c>
      <c r="M39" s="5">
        <v>192500</v>
      </c>
      <c r="N39" s="5">
        <v>8.0122799999999998E-6</v>
      </c>
      <c r="O39" s="5">
        <v>2.1172600000000001E-5</v>
      </c>
      <c r="Q39" s="5">
        <f t="shared" si="3"/>
        <v>2.9184880000000001E-5</v>
      </c>
      <c r="S39" s="8">
        <f t="shared" si="4"/>
        <v>8.7067064439140819E-8</v>
      </c>
    </row>
    <row r="40" spans="4:19" x14ac:dyDescent="0.25">
      <c r="D40" s="4">
        <f t="shared" si="0"/>
        <v>20.350000000000001</v>
      </c>
      <c r="E40" s="5">
        <v>203500</v>
      </c>
      <c r="F40" s="5">
        <v>1.2044999999999999</v>
      </c>
      <c r="G40" s="5">
        <v>0</v>
      </c>
      <c r="H40" s="5"/>
      <c r="I40" s="4">
        <f t="shared" si="1"/>
        <v>3.593377088305489E-9</v>
      </c>
      <c r="L40" s="6">
        <f t="shared" si="2"/>
        <v>19.8</v>
      </c>
      <c r="M40" s="5">
        <v>198000</v>
      </c>
      <c r="N40" s="5">
        <v>7.9520999999999996E-6</v>
      </c>
      <c r="O40" s="5">
        <v>1.9720799999999999E-5</v>
      </c>
      <c r="Q40" s="5">
        <f t="shared" si="3"/>
        <v>2.7672899999999997E-5</v>
      </c>
      <c r="S40" s="8">
        <f t="shared" si="4"/>
        <v>8.255638424821E-8</v>
      </c>
    </row>
    <row r="41" spans="4:19" x14ac:dyDescent="0.25">
      <c r="D41" s="4">
        <f t="shared" si="0"/>
        <v>20.9</v>
      </c>
      <c r="E41" s="5">
        <v>209000</v>
      </c>
      <c r="F41" s="5">
        <v>2.7101999999999999</v>
      </c>
      <c r="G41" s="5">
        <v>0</v>
      </c>
      <c r="H41" s="5"/>
      <c r="I41" s="4">
        <f t="shared" si="1"/>
        <v>8.0853221957040551E-9</v>
      </c>
      <c r="L41" s="6">
        <f t="shared" si="2"/>
        <v>20.350000000000001</v>
      </c>
      <c r="M41" s="5">
        <v>203500</v>
      </c>
      <c r="N41" s="5">
        <v>8.1446600000000007E-6</v>
      </c>
      <c r="O41" s="5">
        <v>1.4493300000000001E-5</v>
      </c>
      <c r="Q41" s="5">
        <f t="shared" si="3"/>
        <v>2.263796E-5</v>
      </c>
      <c r="S41" s="8">
        <f t="shared" si="4"/>
        <v>6.7535680190930776E-8</v>
      </c>
    </row>
    <row r="42" spans="4:19" x14ac:dyDescent="0.25">
      <c r="D42" s="4">
        <f t="shared" si="0"/>
        <v>21.45</v>
      </c>
      <c r="E42" s="5">
        <v>214500</v>
      </c>
      <c r="F42" s="5">
        <v>1.5056</v>
      </c>
      <c r="G42" s="5">
        <v>0</v>
      </c>
      <c r="H42" s="5"/>
      <c r="I42" s="4">
        <f t="shared" si="1"/>
        <v>4.4916467780429593E-9</v>
      </c>
      <c r="L42" s="6">
        <f t="shared" si="2"/>
        <v>20.9</v>
      </c>
      <c r="M42" s="5">
        <v>209000</v>
      </c>
      <c r="N42" s="5">
        <v>8.4034100000000006E-6</v>
      </c>
      <c r="O42" s="5">
        <v>1.75283E-5</v>
      </c>
      <c r="Q42" s="5">
        <f t="shared" si="3"/>
        <v>2.5931710000000002E-5</v>
      </c>
      <c r="S42" s="8">
        <f t="shared" si="4"/>
        <v>7.7361903341288785E-8</v>
      </c>
    </row>
    <row r="43" spans="4:19" x14ac:dyDescent="0.25">
      <c r="D43" s="4">
        <f t="shared" si="0"/>
        <v>22</v>
      </c>
      <c r="E43" s="5">
        <v>220000</v>
      </c>
      <c r="F43" s="5">
        <v>2.1078999999999999</v>
      </c>
      <c r="G43" s="5">
        <v>0</v>
      </c>
      <c r="H43" s="5"/>
      <c r="I43" s="4">
        <f t="shared" si="1"/>
        <v>6.2884844868735076E-9</v>
      </c>
      <c r="L43" s="6">
        <f t="shared" si="2"/>
        <v>21.45</v>
      </c>
      <c r="M43" s="5">
        <v>214500</v>
      </c>
      <c r="N43" s="5">
        <v>8.5237600000000002E-6</v>
      </c>
      <c r="O43" s="5">
        <v>1.40625E-5</v>
      </c>
      <c r="Q43" s="5">
        <f t="shared" si="3"/>
        <v>2.2586260000000002E-5</v>
      </c>
      <c r="S43" s="8">
        <f t="shared" si="4"/>
        <v>6.7381443914081156E-8</v>
      </c>
    </row>
    <row r="44" spans="4:19" x14ac:dyDescent="0.25">
      <c r="D44" s="4">
        <f t="shared" si="0"/>
        <v>22.55</v>
      </c>
      <c r="E44" s="5">
        <v>225500</v>
      </c>
      <c r="F44" s="5">
        <v>1.5056</v>
      </c>
      <c r="G44" s="5">
        <v>0</v>
      </c>
      <c r="H44" s="5"/>
      <c r="I44" s="4">
        <f t="shared" si="1"/>
        <v>4.4916467780429593E-9</v>
      </c>
      <c r="L44" s="6">
        <f t="shared" si="2"/>
        <v>22</v>
      </c>
      <c r="M44" s="5">
        <v>220000</v>
      </c>
      <c r="N44" s="5">
        <v>8.8336600000000004E-6</v>
      </c>
      <c r="O44" s="5">
        <v>1.88838E-5</v>
      </c>
      <c r="Q44" s="5">
        <f t="shared" si="3"/>
        <v>2.7717460000000001E-5</v>
      </c>
      <c r="S44" s="8">
        <f t="shared" si="4"/>
        <v>8.2689319809069195E-8</v>
      </c>
    </row>
    <row r="45" spans="4:19" x14ac:dyDescent="0.25">
      <c r="D45" s="4">
        <f t="shared" si="0"/>
        <v>23.1</v>
      </c>
      <c r="E45" s="5">
        <v>231000</v>
      </c>
      <c r="F45" s="5">
        <v>2.7101999999999999</v>
      </c>
      <c r="G45" s="5">
        <v>0</v>
      </c>
      <c r="H45" s="5"/>
      <c r="I45" s="4">
        <f t="shared" si="1"/>
        <v>8.0853221957040551E-9</v>
      </c>
      <c r="L45" s="6">
        <f t="shared" si="2"/>
        <v>22.55</v>
      </c>
      <c r="M45" s="5">
        <v>225500</v>
      </c>
      <c r="N45" s="5">
        <v>9.3270999999999992E-6</v>
      </c>
      <c r="O45" s="5">
        <v>1.99266E-5</v>
      </c>
      <c r="Q45" s="5">
        <f t="shared" si="3"/>
        <v>2.9253700000000001E-5</v>
      </c>
      <c r="S45" s="8">
        <f t="shared" si="4"/>
        <v>8.7272374701670628E-8</v>
      </c>
    </row>
    <row r="46" spans="4:19" x14ac:dyDescent="0.25">
      <c r="D46" s="4">
        <f t="shared" si="0"/>
        <v>23.65</v>
      </c>
      <c r="E46" s="5">
        <v>236500</v>
      </c>
      <c r="F46" s="5">
        <v>5.1192000000000002</v>
      </c>
      <c r="G46" s="5">
        <v>0</v>
      </c>
      <c r="H46" s="5"/>
      <c r="I46" s="4">
        <f t="shared" si="1"/>
        <v>1.5272076372315036E-8</v>
      </c>
      <c r="L46" s="6">
        <f t="shared" si="2"/>
        <v>23.1</v>
      </c>
      <c r="M46" s="5">
        <v>231000</v>
      </c>
      <c r="N46" s="5">
        <v>9.3511700000000008E-6</v>
      </c>
      <c r="O46" s="5">
        <v>1.38875E-5</v>
      </c>
      <c r="Q46" s="5">
        <f t="shared" si="3"/>
        <v>2.3238670000000003E-5</v>
      </c>
      <c r="S46" s="8">
        <f t="shared" si="4"/>
        <v>6.9327774463007146E-8</v>
      </c>
    </row>
    <row r="47" spans="4:19" x14ac:dyDescent="0.25">
      <c r="D47" s="4">
        <f t="shared" si="0"/>
        <v>24.2</v>
      </c>
      <c r="E47" s="5">
        <v>242000</v>
      </c>
      <c r="F47" s="5">
        <v>5.1192000000000002</v>
      </c>
      <c r="G47" s="5">
        <v>0</v>
      </c>
      <c r="H47" s="5"/>
      <c r="I47" s="4">
        <f t="shared" si="1"/>
        <v>1.5272076372315036E-8</v>
      </c>
      <c r="L47" s="6">
        <f t="shared" si="2"/>
        <v>23.65</v>
      </c>
      <c r="M47" s="5">
        <v>236500</v>
      </c>
      <c r="N47" s="5">
        <v>9.8746899999999998E-6</v>
      </c>
      <c r="O47" s="5">
        <v>1.9806E-5</v>
      </c>
      <c r="Q47" s="5">
        <f t="shared" si="3"/>
        <v>2.9680690000000001E-5</v>
      </c>
      <c r="S47" s="8">
        <f t="shared" si="4"/>
        <v>8.854621121718375E-8</v>
      </c>
    </row>
    <row r="48" spans="4:19" x14ac:dyDescent="0.25">
      <c r="D48" s="4">
        <f t="shared" si="0"/>
        <v>24.75</v>
      </c>
      <c r="E48" s="5">
        <v>247500</v>
      </c>
      <c r="F48" s="5">
        <v>6.6247999999999996</v>
      </c>
      <c r="G48" s="5">
        <v>0</v>
      </c>
      <c r="H48" s="5"/>
      <c r="I48" s="4">
        <f t="shared" si="1"/>
        <v>1.9763723150357988E-8</v>
      </c>
      <c r="L48" s="6">
        <f t="shared" si="2"/>
        <v>24.2</v>
      </c>
      <c r="M48" s="5">
        <v>242000</v>
      </c>
      <c r="N48" s="5">
        <v>1.00793E-5</v>
      </c>
      <c r="O48" s="5">
        <v>2.0873199999999999E-5</v>
      </c>
      <c r="Q48" s="5">
        <f t="shared" si="3"/>
        <v>3.0952499999999999E-5</v>
      </c>
      <c r="S48" s="8">
        <f t="shared" si="4"/>
        <v>9.234039379474939E-8</v>
      </c>
    </row>
    <row r="49" spans="4:19" x14ac:dyDescent="0.25">
      <c r="D49" s="4">
        <f t="shared" si="0"/>
        <v>25.3</v>
      </c>
      <c r="E49" s="5">
        <v>253000</v>
      </c>
      <c r="F49" s="5">
        <v>4.2157999999999998</v>
      </c>
      <c r="G49" s="5">
        <v>0</v>
      </c>
      <c r="H49" s="5"/>
      <c r="I49" s="4">
        <f t="shared" si="1"/>
        <v>1.2576968973747015E-8</v>
      </c>
      <c r="L49" s="6">
        <f t="shared" si="2"/>
        <v>24.75</v>
      </c>
      <c r="M49" s="5">
        <v>247500</v>
      </c>
      <c r="N49" s="5">
        <v>1.09277E-5</v>
      </c>
      <c r="O49" s="5">
        <v>2.1079600000000001E-5</v>
      </c>
      <c r="Q49" s="5">
        <f t="shared" si="3"/>
        <v>3.2007300000000001E-5</v>
      </c>
      <c r="S49" s="8">
        <f t="shared" si="4"/>
        <v>9.5487171837708833E-8</v>
      </c>
    </row>
    <row r="50" spans="4:19" x14ac:dyDescent="0.25">
      <c r="D50" s="4">
        <f t="shared" si="0"/>
        <v>25.85</v>
      </c>
      <c r="E50" s="5">
        <v>258500</v>
      </c>
      <c r="F50" s="5">
        <v>3.6135000000000002</v>
      </c>
      <c r="G50" s="5">
        <v>0</v>
      </c>
      <c r="H50" s="5"/>
      <c r="I50" s="4">
        <f t="shared" si="1"/>
        <v>1.0780131264916469E-8</v>
      </c>
      <c r="L50" s="6">
        <f t="shared" si="2"/>
        <v>25.3</v>
      </c>
      <c r="M50" s="5">
        <v>253000</v>
      </c>
      <c r="N50" s="5">
        <v>1.1950700000000001E-5</v>
      </c>
      <c r="O50" s="5">
        <v>2.19199E-5</v>
      </c>
      <c r="Q50" s="5">
        <f t="shared" si="3"/>
        <v>3.3870600000000001E-5</v>
      </c>
      <c r="S50" s="8">
        <f t="shared" si="4"/>
        <v>1.010459427207637E-7</v>
      </c>
    </row>
    <row r="51" spans="4:19" x14ac:dyDescent="0.25">
      <c r="D51" s="4">
        <f t="shared" si="0"/>
        <v>26.4</v>
      </c>
      <c r="E51" s="5">
        <v>264000</v>
      </c>
      <c r="F51" s="5">
        <v>4.8181000000000003</v>
      </c>
      <c r="G51" s="5">
        <v>0</v>
      </c>
      <c r="H51" s="5"/>
      <c r="I51" s="4">
        <f t="shared" si="1"/>
        <v>1.4373806682577566E-8</v>
      </c>
      <c r="L51" s="6">
        <f t="shared" si="2"/>
        <v>25.85</v>
      </c>
      <c r="M51" s="5">
        <v>258500</v>
      </c>
      <c r="N51" s="5">
        <v>1.3542300000000001E-5</v>
      </c>
      <c r="O51" s="5">
        <v>2.59635E-5</v>
      </c>
      <c r="Q51" s="5">
        <f t="shared" si="3"/>
        <v>3.9505799999999997E-5</v>
      </c>
      <c r="S51" s="8">
        <f t="shared" si="4"/>
        <v>1.1785739856801907E-7</v>
      </c>
    </row>
    <row r="52" spans="4:19" x14ac:dyDescent="0.25">
      <c r="D52" s="4">
        <f t="shared" si="0"/>
        <v>26.95</v>
      </c>
      <c r="E52" s="5">
        <v>269500</v>
      </c>
      <c r="F52" s="5">
        <v>6.6247999999999996</v>
      </c>
      <c r="G52" s="5">
        <v>0</v>
      </c>
      <c r="H52" s="5"/>
      <c r="I52" s="4">
        <f t="shared" si="1"/>
        <v>1.9763723150357988E-8</v>
      </c>
      <c r="L52" s="6">
        <f t="shared" si="2"/>
        <v>26.4</v>
      </c>
      <c r="M52" s="5">
        <v>264000</v>
      </c>
      <c r="N52" s="5">
        <v>1.8383400000000001E-5</v>
      </c>
      <c r="O52" s="5">
        <v>3.8194400000000001E-5</v>
      </c>
      <c r="Q52" s="5">
        <f t="shared" si="3"/>
        <v>5.6577799999999999E-5</v>
      </c>
      <c r="S52" s="8">
        <f t="shared" si="4"/>
        <v>1.6878818615751788E-7</v>
      </c>
    </row>
    <row r="53" spans="4:19" x14ac:dyDescent="0.25">
      <c r="D53" s="4">
        <f t="shared" si="0"/>
        <v>27.5</v>
      </c>
      <c r="E53" s="5">
        <v>275000</v>
      </c>
      <c r="F53" s="5">
        <v>4.5168999999999997</v>
      </c>
      <c r="G53" s="5">
        <v>0</v>
      </c>
      <c r="H53" s="5"/>
      <c r="I53" s="4">
        <f t="shared" si="1"/>
        <v>1.3475238663484482E-8</v>
      </c>
      <c r="L53" s="6">
        <f t="shared" si="2"/>
        <v>26.95</v>
      </c>
      <c r="M53" s="5">
        <v>269500</v>
      </c>
      <c r="N53" s="5">
        <v>1.8946000000000001E-5</v>
      </c>
      <c r="O53" s="5">
        <v>3.4845499999999997E-5</v>
      </c>
      <c r="Q53" s="5">
        <f t="shared" si="3"/>
        <v>5.3791499999999995E-5</v>
      </c>
      <c r="S53" s="8">
        <f t="shared" si="4"/>
        <v>1.6047583532219566E-7</v>
      </c>
    </row>
    <row r="54" spans="4:19" x14ac:dyDescent="0.25">
      <c r="D54" s="4">
        <f t="shared" si="0"/>
        <v>28.05</v>
      </c>
      <c r="E54" s="5">
        <v>280500</v>
      </c>
      <c r="F54" s="5">
        <v>9.0337999999999994</v>
      </c>
      <c r="G54" s="5">
        <v>0</v>
      </c>
      <c r="H54" s="5"/>
      <c r="I54" s="4">
        <f t="shared" si="1"/>
        <v>2.6950477326968965E-8</v>
      </c>
      <c r="L54" s="6">
        <f t="shared" si="2"/>
        <v>27.5</v>
      </c>
      <c r="M54" s="5">
        <v>275000</v>
      </c>
      <c r="N54" s="5">
        <v>1.9126600000000001E-5</v>
      </c>
      <c r="O54" s="5">
        <v>4.2475499999999997E-5</v>
      </c>
      <c r="Q54" s="5">
        <f t="shared" si="3"/>
        <v>6.1602099999999991E-5</v>
      </c>
      <c r="S54" s="8">
        <f t="shared" si="4"/>
        <v>1.8377714797136033E-7</v>
      </c>
    </row>
    <row r="55" spans="4:19" x14ac:dyDescent="0.25">
      <c r="D55" s="4">
        <f t="shared" si="0"/>
        <v>28.6</v>
      </c>
      <c r="E55" s="5">
        <v>286000</v>
      </c>
      <c r="F55" s="5">
        <v>6.6247999999999996</v>
      </c>
      <c r="G55" s="5">
        <v>0</v>
      </c>
      <c r="H55" s="5"/>
      <c r="I55" s="4">
        <f t="shared" si="1"/>
        <v>1.9763723150357988E-8</v>
      </c>
      <c r="L55" s="6">
        <f t="shared" si="2"/>
        <v>28.05</v>
      </c>
      <c r="M55" s="5">
        <v>280500</v>
      </c>
      <c r="N55" s="5">
        <v>1.9460500000000001E-5</v>
      </c>
      <c r="O55" s="5">
        <v>3.8520899999999999E-5</v>
      </c>
      <c r="Q55" s="5">
        <f t="shared" si="3"/>
        <v>5.79814E-5</v>
      </c>
      <c r="S55" s="8">
        <f t="shared" si="4"/>
        <v>1.7297553699284007E-7</v>
      </c>
    </row>
    <row r="56" spans="4:19" x14ac:dyDescent="0.25">
      <c r="D56" s="4">
        <f t="shared" si="0"/>
        <v>29.15</v>
      </c>
      <c r="E56" s="5">
        <v>291500</v>
      </c>
      <c r="F56" s="5">
        <v>9.9372000000000007</v>
      </c>
      <c r="G56" s="5">
        <v>0</v>
      </c>
      <c r="H56" s="5"/>
      <c r="I56" s="4">
        <f t="shared" si="1"/>
        <v>2.9645584725536989E-8</v>
      </c>
      <c r="L56" s="6">
        <f t="shared" si="2"/>
        <v>28.6</v>
      </c>
      <c r="M56" s="5">
        <v>286000</v>
      </c>
      <c r="N56" s="5">
        <v>2.12507E-5</v>
      </c>
      <c r="O56" s="5">
        <v>4.5205499999999999E-5</v>
      </c>
      <c r="Q56" s="5">
        <f t="shared" si="3"/>
        <v>6.6456200000000002E-5</v>
      </c>
      <c r="S56" s="8">
        <f t="shared" si="4"/>
        <v>1.98258353221957E-7</v>
      </c>
    </row>
    <row r="57" spans="4:19" x14ac:dyDescent="0.25">
      <c r="D57" s="4">
        <f t="shared" si="0"/>
        <v>29.7</v>
      </c>
      <c r="E57" s="5">
        <v>297000</v>
      </c>
      <c r="F57" s="5">
        <v>8.7326999999999995</v>
      </c>
      <c r="G57" s="5">
        <v>0</v>
      </c>
      <c r="H57" s="5"/>
      <c r="I57" s="4">
        <f t="shared" si="1"/>
        <v>2.6052207637231499E-8</v>
      </c>
      <c r="L57" s="6">
        <f t="shared" si="2"/>
        <v>29.15</v>
      </c>
      <c r="M57" s="5">
        <v>291500</v>
      </c>
      <c r="N57" s="5">
        <v>2.1662899999999999E-5</v>
      </c>
      <c r="O57" s="5">
        <v>4.3547899999999997E-5</v>
      </c>
      <c r="Q57" s="5">
        <f t="shared" si="3"/>
        <v>6.5210799999999996E-5</v>
      </c>
      <c r="S57" s="8">
        <f t="shared" si="4"/>
        <v>1.9454295942720761E-7</v>
      </c>
    </row>
    <row r="58" spans="4:19" x14ac:dyDescent="0.25">
      <c r="D58" s="4">
        <f t="shared" si="0"/>
        <v>30.25</v>
      </c>
      <c r="E58" s="5">
        <v>302500</v>
      </c>
      <c r="F58" s="5">
        <v>10.840999999999999</v>
      </c>
      <c r="G58" s="5">
        <v>0</v>
      </c>
      <c r="H58" s="5"/>
      <c r="I58" s="4">
        <f t="shared" si="1"/>
        <v>3.2341885441527437E-8</v>
      </c>
      <c r="L58" s="6">
        <f t="shared" si="2"/>
        <v>29.7</v>
      </c>
      <c r="M58" s="5">
        <v>297000</v>
      </c>
      <c r="N58" s="5">
        <v>2.2487300000000001E-5</v>
      </c>
      <c r="O58" s="5">
        <v>4.74217E-5</v>
      </c>
      <c r="Q58" s="5">
        <f t="shared" si="3"/>
        <v>6.9908999999999998E-5</v>
      </c>
      <c r="S58" s="8">
        <f t="shared" si="4"/>
        <v>2.0855906921241047E-7</v>
      </c>
    </row>
    <row r="59" spans="4:19" x14ac:dyDescent="0.25">
      <c r="D59" s="4">
        <f t="shared" si="0"/>
        <v>30.8</v>
      </c>
      <c r="E59" s="5">
        <v>308000</v>
      </c>
      <c r="F59" s="5">
        <v>13.551</v>
      </c>
      <c r="G59" s="5">
        <v>0</v>
      </c>
      <c r="H59" s="5"/>
      <c r="I59" s="4">
        <f t="shared" si="1"/>
        <v>4.0426610978520284E-8</v>
      </c>
      <c r="L59" s="6">
        <f t="shared" si="2"/>
        <v>30.25</v>
      </c>
      <c r="M59" s="5">
        <v>302500</v>
      </c>
      <c r="N59" s="5">
        <v>2.3137199999999999E-5</v>
      </c>
      <c r="O59" s="5">
        <v>4.3421099999999997E-5</v>
      </c>
      <c r="Q59" s="5">
        <f t="shared" si="3"/>
        <v>6.6558300000000003E-5</v>
      </c>
      <c r="S59" s="8">
        <f t="shared" si="4"/>
        <v>1.9856294749403342E-7</v>
      </c>
    </row>
    <row r="60" spans="4:19" x14ac:dyDescent="0.25">
      <c r="D60" s="4">
        <f t="shared" si="0"/>
        <v>31.35</v>
      </c>
      <c r="E60" s="5">
        <v>313500</v>
      </c>
      <c r="F60" s="5">
        <v>18.670000000000002</v>
      </c>
      <c r="G60" s="5">
        <v>0</v>
      </c>
      <c r="H60" s="5"/>
      <c r="I60" s="4">
        <f t="shared" si="1"/>
        <v>5.5698090692124097E-8</v>
      </c>
      <c r="L60" s="6">
        <f t="shared" si="2"/>
        <v>30.8</v>
      </c>
      <c r="M60" s="5">
        <v>308000</v>
      </c>
      <c r="N60" s="5">
        <v>2.4403899999999999E-5</v>
      </c>
      <c r="O60" s="5">
        <v>4.70878E-5</v>
      </c>
      <c r="Q60" s="5">
        <f t="shared" si="3"/>
        <v>7.1491699999999992E-5</v>
      </c>
      <c r="S60" s="8">
        <f t="shared" si="4"/>
        <v>2.1328072792362763E-7</v>
      </c>
    </row>
    <row r="61" spans="4:19" x14ac:dyDescent="0.25">
      <c r="D61" s="4">
        <f t="shared" si="0"/>
        <v>31.9</v>
      </c>
      <c r="E61" s="5">
        <v>319000</v>
      </c>
      <c r="F61" s="5">
        <v>19.271999999999998</v>
      </c>
      <c r="G61" s="5">
        <v>0</v>
      </c>
      <c r="H61" s="5"/>
      <c r="I61" s="4">
        <f t="shared" si="1"/>
        <v>5.7494033412887824E-8</v>
      </c>
      <c r="L61" s="6">
        <f t="shared" si="2"/>
        <v>31.35</v>
      </c>
      <c r="M61" s="5">
        <v>313500</v>
      </c>
      <c r="N61" s="5">
        <v>2.5092900000000002E-5</v>
      </c>
      <c r="O61" s="5">
        <v>4.5784800000000003E-5</v>
      </c>
      <c r="Q61" s="5">
        <f t="shared" si="3"/>
        <v>7.0877700000000001E-5</v>
      </c>
      <c r="S61" s="8">
        <f t="shared" si="4"/>
        <v>2.1144898568019094E-7</v>
      </c>
    </row>
    <row r="62" spans="4:19" x14ac:dyDescent="0.25">
      <c r="D62" s="4">
        <f t="shared" si="0"/>
        <v>32.450000000000003</v>
      </c>
      <c r="E62" s="5">
        <v>324500</v>
      </c>
      <c r="F62" s="5">
        <v>21.38</v>
      </c>
      <c r="G62" s="5">
        <v>0</v>
      </c>
      <c r="H62" s="5"/>
      <c r="I62" s="4">
        <f t="shared" si="1"/>
        <v>6.3782816229116923E-8</v>
      </c>
      <c r="L62" s="6">
        <f t="shared" si="2"/>
        <v>31.9</v>
      </c>
      <c r="M62" s="5">
        <v>319000</v>
      </c>
      <c r="N62" s="5">
        <v>2.63084E-5</v>
      </c>
      <c r="O62" s="5">
        <v>4.6171499999999997E-5</v>
      </c>
      <c r="Q62" s="5">
        <f t="shared" si="3"/>
        <v>7.2479900000000004E-5</v>
      </c>
      <c r="S62" s="8">
        <f t="shared" si="4"/>
        <v>2.1622881861575176E-7</v>
      </c>
    </row>
    <row r="63" spans="4:19" x14ac:dyDescent="0.25">
      <c r="D63" s="4">
        <f t="shared" si="0"/>
        <v>33</v>
      </c>
      <c r="E63" s="5">
        <v>330000</v>
      </c>
      <c r="F63" s="5">
        <v>21.38</v>
      </c>
      <c r="G63" s="5">
        <v>0</v>
      </c>
      <c r="H63" s="5"/>
      <c r="I63" s="4">
        <f t="shared" si="1"/>
        <v>6.3782816229116923E-8</v>
      </c>
      <c r="L63" s="6">
        <f t="shared" si="2"/>
        <v>32.450000000000003</v>
      </c>
      <c r="M63" s="5">
        <v>324500</v>
      </c>
      <c r="N63" s="5">
        <v>2.75691E-5</v>
      </c>
      <c r="O63" s="5">
        <v>4.8465299999999998E-5</v>
      </c>
      <c r="Q63" s="5">
        <f t="shared" si="3"/>
        <v>7.6034399999999998E-5</v>
      </c>
      <c r="S63" s="8">
        <f t="shared" si="4"/>
        <v>2.2683293556085917E-7</v>
      </c>
    </row>
    <row r="64" spans="4:19" x14ac:dyDescent="0.25">
      <c r="D64" s="4">
        <f t="shared" si="0"/>
        <v>33.549999999999997</v>
      </c>
      <c r="E64" s="5">
        <v>335500</v>
      </c>
      <c r="F64" s="5">
        <v>32.823</v>
      </c>
      <c r="G64" s="5">
        <v>0</v>
      </c>
      <c r="H64" s="5"/>
      <c r="I64" s="4">
        <f t="shared" si="1"/>
        <v>9.7920644391408101E-8</v>
      </c>
      <c r="L64" s="6">
        <f t="shared" si="2"/>
        <v>33</v>
      </c>
      <c r="M64" s="5">
        <v>330000</v>
      </c>
      <c r="N64" s="5">
        <v>2.9693299999999999E-5</v>
      </c>
      <c r="O64" s="5">
        <v>5.6150299999999997E-5</v>
      </c>
      <c r="Q64" s="5">
        <f t="shared" si="3"/>
        <v>8.5843599999999999E-5</v>
      </c>
      <c r="S64" s="8">
        <f t="shared" si="4"/>
        <v>2.5609665871121717E-7</v>
      </c>
    </row>
    <row r="65" spans="4:19" x14ac:dyDescent="0.25">
      <c r="D65" s="4">
        <f t="shared" si="0"/>
        <v>34.1</v>
      </c>
      <c r="E65" s="5">
        <v>341000</v>
      </c>
      <c r="F65" s="5">
        <v>37.640999999999998</v>
      </c>
      <c r="G65" s="5">
        <v>0</v>
      </c>
      <c r="H65" s="5"/>
      <c r="I65" s="4">
        <f t="shared" si="1"/>
        <v>1.1229415274463003E-7</v>
      </c>
      <c r="L65" s="6">
        <f t="shared" si="2"/>
        <v>33.549999999999997</v>
      </c>
      <c r="M65" s="5">
        <v>335500</v>
      </c>
      <c r="N65" s="5">
        <v>3.1062200000000002E-5</v>
      </c>
      <c r="O65" s="5">
        <v>5.4453100000000002E-5</v>
      </c>
      <c r="Q65" s="5">
        <f t="shared" si="3"/>
        <v>8.5515300000000004E-5</v>
      </c>
      <c r="S65" s="8">
        <f t="shared" si="4"/>
        <v>2.551172434367542E-7</v>
      </c>
    </row>
    <row r="66" spans="4:19" x14ac:dyDescent="0.25">
      <c r="D66" s="4">
        <f t="shared" si="0"/>
        <v>34.65</v>
      </c>
      <c r="E66" s="5">
        <v>346500</v>
      </c>
      <c r="F66" s="5">
        <v>46.674999999999997</v>
      </c>
      <c r="G66" s="5">
        <v>0</v>
      </c>
      <c r="H66" s="5"/>
      <c r="I66" s="4">
        <f t="shared" si="1"/>
        <v>1.3924522673031022E-7</v>
      </c>
      <c r="L66" s="6">
        <f t="shared" si="2"/>
        <v>34.1</v>
      </c>
      <c r="M66" s="5">
        <v>341000</v>
      </c>
      <c r="N66" s="5">
        <v>3.3237600000000002E-5</v>
      </c>
      <c r="O66" s="5">
        <v>5.8129199999999999E-5</v>
      </c>
      <c r="Q66" s="5">
        <f t="shared" si="3"/>
        <v>9.1366800000000008E-5</v>
      </c>
      <c r="S66" s="8">
        <f t="shared" si="4"/>
        <v>2.7257398568019087E-7</v>
      </c>
    </row>
    <row r="67" spans="4:19" x14ac:dyDescent="0.25">
      <c r="D67" s="4">
        <f t="shared" si="0"/>
        <v>35.200000000000003</v>
      </c>
      <c r="E67" s="5">
        <v>352000</v>
      </c>
      <c r="F67" s="5">
        <v>51.493000000000002</v>
      </c>
      <c r="G67" s="5">
        <v>0</v>
      </c>
      <c r="H67" s="5"/>
      <c r="I67" s="4">
        <f t="shared" si="1"/>
        <v>1.536187350835322E-7</v>
      </c>
      <c r="L67" s="6">
        <f t="shared" si="2"/>
        <v>34.65</v>
      </c>
      <c r="M67" s="5">
        <v>346500</v>
      </c>
      <c r="N67" s="5">
        <v>3.6068800000000003E-5</v>
      </c>
      <c r="O67" s="5">
        <v>5.9500499999999997E-5</v>
      </c>
      <c r="Q67" s="5">
        <f t="shared" si="3"/>
        <v>9.55693E-5</v>
      </c>
      <c r="S67" s="8">
        <f t="shared" si="4"/>
        <v>2.8511127684964203E-7</v>
      </c>
    </row>
    <row r="68" spans="4:19" x14ac:dyDescent="0.25">
      <c r="D68" s="4">
        <f t="shared" si="0"/>
        <v>35.75</v>
      </c>
      <c r="E68" s="5">
        <v>357500</v>
      </c>
      <c r="F68" s="5">
        <v>77.992000000000004</v>
      </c>
      <c r="G68" s="5">
        <v>0</v>
      </c>
      <c r="H68" s="5"/>
      <c r="I68" s="4">
        <f t="shared" si="1"/>
        <v>2.3267303102625295E-7</v>
      </c>
      <c r="L68" s="6">
        <f t="shared" si="2"/>
        <v>35.200000000000003</v>
      </c>
      <c r="M68" s="5">
        <v>352000</v>
      </c>
      <c r="N68" s="5">
        <v>3.91858E-5</v>
      </c>
      <c r="O68" s="5">
        <v>6.2336199999999995E-5</v>
      </c>
      <c r="Q68" s="5">
        <f t="shared" si="3"/>
        <v>1.0152199999999999E-4</v>
      </c>
      <c r="S68" s="8">
        <f t="shared" si="4"/>
        <v>3.0286992840095455E-7</v>
      </c>
    </row>
    <row r="69" spans="4:19" x14ac:dyDescent="0.25">
      <c r="D69" s="4">
        <f t="shared" ref="D69:D103" si="5">E69/10000</f>
        <v>36.299999999999997</v>
      </c>
      <c r="E69" s="5">
        <v>363000</v>
      </c>
      <c r="F69" s="5">
        <v>110.21</v>
      </c>
      <c r="G69" s="5">
        <v>0</v>
      </c>
      <c r="H69" s="5"/>
      <c r="I69" s="4">
        <f t="shared" ref="I69:I103" si="6">F69*$U$2*10^-6*$U$3/($U$4)*100</f>
        <v>3.2878878281622911E-7</v>
      </c>
      <c r="L69" s="6">
        <f t="shared" si="2"/>
        <v>35.75</v>
      </c>
      <c r="M69" s="5">
        <v>357500</v>
      </c>
      <c r="N69" s="5">
        <v>4.3193499999999999E-5</v>
      </c>
      <c r="O69" s="5">
        <v>7.1203899999999998E-5</v>
      </c>
      <c r="Q69" s="5">
        <f t="shared" si="3"/>
        <v>1.143974E-4</v>
      </c>
      <c r="S69" s="8">
        <f t="shared" si="4"/>
        <v>3.4128102625298318E-7</v>
      </c>
    </row>
    <row r="70" spans="4:19" x14ac:dyDescent="0.25">
      <c r="D70" s="4">
        <f t="shared" si="5"/>
        <v>36.85</v>
      </c>
      <c r="E70" s="5">
        <v>368500</v>
      </c>
      <c r="F70" s="5">
        <v>161.71</v>
      </c>
      <c r="G70" s="5">
        <v>0</v>
      </c>
      <c r="H70" s="5"/>
      <c r="I70" s="4">
        <f t="shared" si="6"/>
        <v>4.8242840095465392E-7</v>
      </c>
      <c r="L70" s="6">
        <f t="shared" ref="L70:L104" si="7">M70/10000</f>
        <v>36.299999999999997</v>
      </c>
      <c r="M70" s="5">
        <v>363000</v>
      </c>
      <c r="N70" s="5">
        <v>4.8311299999999999E-5</v>
      </c>
      <c r="O70" s="5">
        <v>7.3049599999999999E-5</v>
      </c>
      <c r="Q70" s="5">
        <f t="shared" ref="Q70:Q104" si="8">N70+O70</f>
        <v>1.213609E-4</v>
      </c>
      <c r="S70" s="8">
        <f t="shared" ref="S70:S104" si="9">Q70*10^8*$U$2*10^-6*$U$3/($U$4)</f>
        <v>3.6205519093078753E-7</v>
      </c>
    </row>
    <row r="71" spans="4:19" x14ac:dyDescent="0.25">
      <c r="D71" s="4">
        <f t="shared" si="5"/>
        <v>37.4</v>
      </c>
      <c r="E71" s="5">
        <v>374000</v>
      </c>
      <c r="F71" s="5">
        <v>246.62</v>
      </c>
      <c r="G71" s="5">
        <v>0</v>
      </c>
      <c r="H71" s="5"/>
      <c r="I71" s="4">
        <f t="shared" si="6"/>
        <v>7.3573985680190923E-7</v>
      </c>
      <c r="L71" s="6">
        <f t="shared" si="7"/>
        <v>36.85</v>
      </c>
      <c r="M71" s="5">
        <v>368500</v>
      </c>
      <c r="N71" s="5">
        <v>5.60498E-5</v>
      </c>
      <c r="O71" s="5">
        <v>8.0284999999999994E-5</v>
      </c>
      <c r="Q71" s="5">
        <f t="shared" si="8"/>
        <v>1.363348E-4</v>
      </c>
      <c r="S71" s="8">
        <f t="shared" si="9"/>
        <v>4.0672673031026244E-7</v>
      </c>
    </row>
    <row r="72" spans="4:19" x14ac:dyDescent="0.25">
      <c r="D72" s="4">
        <f t="shared" si="5"/>
        <v>37.950000000000003</v>
      </c>
      <c r="E72" s="5">
        <v>379500</v>
      </c>
      <c r="F72" s="5">
        <v>414.05</v>
      </c>
      <c r="G72" s="5">
        <v>0</v>
      </c>
      <c r="H72" s="5"/>
      <c r="I72" s="4">
        <f t="shared" si="6"/>
        <v>1.2352326968973745E-6</v>
      </c>
      <c r="L72" s="6">
        <f t="shared" si="7"/>
        <v>37.4</v>
      </c>
      <c r="M72" s="5">
        <v>374000</v>
      </c>
      <c r="N72" s="5">
        <v>6.6093000000000006E-5</v>
      </c>
      <c r="O72" s="5">
        <v>9.9198399999999995E-5</v>
      </c>
      <c r="Q72" s="5">
        <f t="shared" si="8"/>
        <v>1.652914E-4</v>
      </c>
      <c r="S72" s="8">
        <f t="shared" si="9"/>
        <v>4.9311276849642E-7</v>
      </c>
    </row>
    <row r="73" spans="4:19" x14ac:dyDescent="0.25">
      <c r="D73" s="4">
        <f t="shared" si="5"/>
        <v>38.5</v>
      </c>
      <c r="E73" s="5">
        <v>385000</v>
      </c>
      <c r="F73" s="5">
        <v>730.24</v>
      </c>
      <c r="G73" s="5">
        <v>0</v>
      </c>
      <c r="H73" s="5"/>
      <c r="I73" s="4">
        <f t="shared" si="6"/>
        <v>2.1785202863961811E-6</v>
      </c>
      <c r="L73" s="6">
        <f t="shared" si="7"/>
        <v>37.950000000000003</v>
      </c>
      <c r="M73" s="5">
        <v>379500</v>
      </c>
      <c r="N73" s="5">
        <v>8.1082500000000002E-5</v>
      </c>
      <c r="O73" s="5">
        <v>1.0494599999999999E-4</v>
      </c>
      <c r="Q73" s="5">
        <f t="shared" si="8"/>
        <v>1.8602849999999998E-4</v>
      </c>
      <c r="S73" s="8">
        <f t="shared" si="9"/>
        <v>5.5497762529832916E-7</v>
      </c>
    </row>
    <row r="74" spans="4:19" x14ac:dyDescent="0.25">
      <c r="D74" s="4">
        <f t="shared" si="5"/>
        <v>39.049999999999997</v>
      </c>
      <c r="E74" s="5">
        <v>390500</v>
      </c>
      <c r="F74" s="5">
        <v>1287.3</v>
      </c>
      <c r="G74" s="5">
        <v>0</v>
      </c>
      <c r="H74" s="5"/>
      <c r="I74" s="4">
        <f t="shared" si="6"/>
        <v>3.8403937947494029E-6</v>
      </c>
      <c r="L74" s="6">
        <f t="shared" si="7"/>
        <v>38.5</v>
      </c>
      <c r="M74" s="5">
        <v>385000</v>
      </c>
      <c r="N74" s="5">
        <v>1.0354899999999999E-4</v>
      </c>
      <c r="O74" s="5">
        <v>1.20542E-4</v>
      </c>
      <c r="Q74" s="5">
        <f t="shared" si="8"/>
        <v>2.2409099999999999E-4</v>
      </c>
      <c r="S74" s="8">
        <f t="shared" si="9"/>
        <v>6.6852923627684944E-7</v>
      </c>
    </row>
    <row r="75" spans="4:19" x14ac:dyDescent="0.25">
      <c r="D75" s="4">
        <f t="shared" si="5"/>
        <v>39.6</v>
      </c>
      <c r="E75" s="5">
        <v>396000</v>
      </c>
      <c r="F75" s="5">
        <v>2162.1</v>
      </c>
      <c r="G75" s="5">
        <v>0</v>
      </c>
      <c r="H75" s="5"/>
      <c r="I75" s="4">
        <f t="shared" si="6"/>
        <v>6.4501789976133641E-6</v>
      </c>
      <c r="L75" s="6">
        <f t="shared" si="7"/>
        <v>39.049999999999997</v>
      </c>
      <c r="M75" s="5">
        <v>390500</v>
      </c>
      <c r="N75" s="5">
        <v>1.3636200000000001E-4</v>
      </c>
      <c r="O75" s="5">
        <v>1.37448E-4</v>
      </c>
      <c r="Q75" s="5">
        <f t="shared" si="8"/>
        <v>2.7380999999999998E-4</v>
      </c>
      <c r="S75" s="8">
        <f t="shared" si="9"/>
        <v>8.1685560859188542E-7</v>
      </c>
    </row>
    <row r="76" spans="4:19" x14ac:dyDescent="0.25">
      <c r="D76" s="4">
        <f t="shared" si="5"/>
        <v>40.15</v>
      </c>
      <c r="E76" s="5">
        <v>401500</v>
      </c>
      <c r="F76" s="5">
        <v>2919.7</v>
      </c>
      <c r="G76" s="5">
        <v>0</v>
      </c>
      <c r="H76" s="5"/>
      <c r="I76" s="4">
        <f t="shared" si="6"/>
        <v>8.7103221957040542E-6</v>
      </c>
      <c r="L76" s="6">
        <f t="shared" si="7"/>
        <v>39.6</v>
      </c>
      <c r="M76" s="5">
        <v>396000</v>
      </c>
      <c r="N76" s="5">
        <v>1.74919E-4</v>
      </c>
      <c r="O76" s="5">
        <v>1.4616299999999999E-4</v>
      </c>
      <c r="Q76" s="5">
        <f t="shared" si="8"/>
        <v>3.2108199999999999E-4</v>
      </c>
      <c r="S76" s="8">
        <f t="shared" si="9"/>
        <v>9.578818615751787E-7</v>
      </c>
    </row>
    <row r="77" spans="4:19" x14ac:dyDescent="0.25">
      <c r="D77" s="4">
        <f t="shared" si="5"/>
        <v>40.700000000000003</v>
      </c>
      <c r="E77" s="5">
        <v>407000</v>
      </c>
      <c r="F77" s="5">
        <v>3250.7</v>
      </c>
      <c r="G77" s="5">
        <v>0</v>
      </c>
      <c r="H77" s="5"/>
      <c r="I77" s="4">
        <f t="shared" si="6"/>
        <v>9.6977923627684941E-6</v>
      </c>
      <c r="L77" s="6">
        <f t="shared" si="7"/>
        <v>40.15</v>
      </c>
      <c r="M77" s="5">
        <v>401500</v>
      </c>
      <c r="N77" s="5">
        <v>1.93802E-4</v>
      </c>
      <c r="O77" s="5">
        <v>1.4248099999999999E-4</v>
      </c>
      <c r="Q77" s="5">
        <f t="shared" si="8"/>
        <v>3.3628299999999999E-4</v>
      </c>
      <c r="S77" s="8">
        <f t="shared" si="9"/>
        <v>1.0032309069212409E-6</v>
      </c>
    </row>
    <row r="78" spans="4:19" x14ac:dyDescent="0.25">
      <c r="D78" s="4">
        <f t="shared" si="5"/>
        <v>41.25</v>
      </c>
      <c r="E78" s="5">
        <v>412500</v>
      </c>
      <c r="F78" s="5">
        <v>2915.2</v>
      </c>
      <c r="G78" s="5">
        <v>0</v>
      </c>
      <c r="H78" s="5"/>
      <c r="I78" s="4">
        <f t="shared" si="6"/>
        <v>8.6968973747016682E-6</v>
      </c>
      <c r="L78" s="6">
        <f t="shared" si="7"/>
        <v>40.700000000000003</v>
      </c>
      <c r="M78" s="5">
        <v>407000</v>
      </c>
      <c r="N78" s="5">
        <v>1.86873E-4</v>
      </c>
      <c r="O78" s="5">
        <v>1.21847E-4</v>
      </c>
      <c r="Q78" s="5">
        <f t="shared" si="8"/>
        <v>3.0872000000000001E-4</v>
      </c>
      <c r="S78" s="8">
        <f t="shared" si="9"/>
        <v>9.2100238663484476E-7</v>
      </c>
    </row>
    <row r="79" spans="4:19" x14ac:dyDescent="0.25">
      <c r="D79" s="4">
        <f t="shared" si="5"/>
        <v>41.8</v>
      </c>
      <c r="E79" s="5">
        <v>418000</v>
      </c>
      <c r="F79" s="5">
        <v>2009.7</v>
      </c>
      <c r="G79" s="5">
        <v>0</v>
      </c>
      <c r="H79" s="5"/>
      <c r="I79" s="4">
        <f t="shared" si="6"/>
        <v>5.9955250596658721E-6</v>
      </c>
      <c r="L79" s="6">
        <f t="shared" si="7"/>
        <v>41.25</v>
      </c>
      <c r="M79" s="5">
        <v>412500</v>
      </c>
      <c r="N79" s="5">
        <v>1.4497300000000001E-4</v>
      </c>
      <c r="O79" s="5">
        <v>8.2834499999999994E-5</v>
      </c>
      <c r="Q79" s="5">
        <f t="shared" si="8"/>
        <v>2.2780750000000002E-4</v>
      </c>
      <c r="S79" s="8">
        <f t="shared" si="9"/>
        <v>6.7961664677804291E-7</v>
      </c>
    </row>
    <row r="80" spans="4:19" x14ac:dyDescent="0.25">
      <c r="D80" s="4">
        <f t="shared" si="5"/>
        <v>42.35</v>
      </c>
      <c r="E80" s="5">
        <v>423500</v>
      </c>
      <c r="F80" s="5">
        <v>980.47</v>
      </c>
      <c r="G80" s="5">
        <v>0</v>
      </c>
      <c r="H80" s="5"/>
      <c r="I80" s="4">
        <f t="shared" si="6"/>
        <v>2.9250298329355608E-6</v>
      </c>
      <c r="L80" s="6">
        <f t="shared" si="7"/>
        <v>41.8</v>
      </c>
      <c r="M80" s="5">
        <v>418000</v>
      </c>
      <c r="N80" s="5">
        <v>9.0039599999999998E-5</v>
      </c>
      <c r="O80" s="5">
        <v>4.6259099999999999E-5</v>
      </c>
      <c r="Q80" s="5">
        <f t="shared" si="8"/>
        <v>1.362987E-4</v>
      </c>
      <c r="S80" s="8">
        <f t="shared" si="9"/>
        <v>4.0661903341288776E-7</v>
      </c>
    </row>
    <row r="81" spans="4:19" x14ac:dyDescent="0.25">
      <c r="D81" s="4">
        <f t="shared" si="5"/>
        <v>42.9</v>
      </c>
      <c r="E81" s="5">
        <v>429000</v>
      </c>
      <c r="F81" s="5">
        <v>384.54</v>
      </c>
      <c r="G81" s="5">
        <v>0</v>
      </c>
      <c r="H81" s="5"/>
      <c r="I81" s="4">
        <f t="shared" si="6"/>
        <v>1.1471957040572794E-6</v>
      </c>
      <c r="L81" s="6">
        <f t="shared" si="7"/>
        <v>42.35</v>
      </c>
      <c r="M81" s="5">
        <v>423500</v>
      </c>
      <c r="N81" s="5">
        <v>4.1228800000000001E-5</v>
      </c>
      <c r="O81" s="5">
        <v>1.90427E-5</v>
      </c>
      <c r="Q81" s="5">
        <f t="shared" si="8"/>
        <v>6.0271500000000001E-5</v>
      </c>
      <c r="S81" s="8">
        <f t="shared" si="9"/>
        <v>1.7980757756563245E-7</v>
      </c>
    </row>
    <row r="82" spans="4:19" x14ac:dyDescent="0.25">
      <c r="D82" s="4">
        <f t="shared" si="5"/>
        <v>43.45</v>
      </c>
      <c r="E82" s="5">
        <v>434500</v>
      </c>
      <c r="F82" s="5">
        <v>118.34</v>
      </c>
      <c r="G82" s="5">
        <v>0</v>
      </c>
      <c r="H82" s="5"/>
      <c r="I82" s="4">
        <f t="shared" si="6"/>
        <v>3.5304295942720756E-7</v>
      </c>
      <c r="L82" s="6">
        <f t="shared" si="7"/>
        <v>42.9</v>
      </c>
      <c r="M82" s="5">
        <v>429000</v>
      </c>
      <c r="N82" s="5">
        <v>1.5296400000000001E-5</v>
      </c>
      <c r="O82" s="5">
        <v>6.6195900000000003E-6</v>
      </c>
      <c r="Q82" s="5">
        <f t="shared" si="8"/>
        <v>2.1915990000000001E-5</v>
      </c>
      <c r="S82" s="8">
        <f t="shared" si="9"/>
        <v>6.5381831742243423E-8</v>
      </c>
    </row>
    <row r="83" spans="4:19" x14ac:dyDescent="0.25">
      <c r="D83" s="4">
        <f t="shared" si="5"/>
        <v>44</v>
      </c>
      <c r="E83" s="5">
        <v>440000</v>
      </c>
      <c r="F83" s="5">
        <v>29.812000000000001</v>
      </c>
      <c r="G83" s="5">
        <v>0</v>
      </c>
      <c r="H83" s="5"/>
      <c r="I83" s="4">
        <f t="shared" si="6"/>
        <v>8.8937947494033427E-8</v>
      </c>
      <c r="L83" s="6">
        <f t="shared" si="7"/>
        <v>43.45</v>
      </c>
      <c r="M83" s="5">
        <v>434500</v>
      </c>
      <c r="N83" s="5">
        <v>4.2032099999999997E-6</v>
      </c>
      <c r="O83" s="5">
        <v>1.56585E-6</v>
      </c>
      <c r="Q83" s="5">
        <f t="shared" si="8"/>
        <v>5.7690599999999993E-6</v>
      </c>
      <c r="S83" s="8">
        <f t="shared" si="9"/>
        <v>1.7210799522673026E-8</v>
      </c>
    </row>
    <row r="84" spans="4:19" x14ac:dyDescent="0.25">
      <c r="D84" s="4">
        <f t="shared" si="5"/>
        <v>44.55</v>
      </c>
      <c r="E84" s="5">
        <v>445500</v>
      </c>
      <c r="F84" s="5">
        <v>5.7214</v>
      </c>
      <c r="G84" s="5">
        <v>0</v>
      </c>
      <c r="H84" s="5"/>
      <c r="I84" s="4">
        <f t="shared" si="6"/>
        <v>1.7068615751789974E-8</v>
      </c>
      <c r="L84" s="6">
        <f t="shared" si="7"/>
        <v>44</v>
      </c>
      <c r="M84" s="5">
        <v>440000</v>
      </c>
      <c r="N84" s="5">
        <v>9.1465699999999998E-7</v>
      </c>
      <c r="O84" s="5">
        <v>3.32646E-7</v>
      </c>
      <c r="Q84" s="5">
        <f t="shared" si="8"/>
        <v>1.247303E-6</v>
      </c>
      <c r="S84" s="8">
        <f t="shared" si="9"/>
        <v>3.7210710023866342E-9</v>
      </c>
    </row>
    <row r="85" spans="4:19" x14ac:dyDescent="0.25">
      <c r="D85" s="4">
        <f t="shared" si="5"/>
        <v>45.1</v>
      </c>
      <c r="E85" s="5">
        <v>451000</v>
      </c>
      <c r="F85" s="5">
        <v>0</v>
      </c>
      <c r="G85" s="5">
        <v>0</v>
      </c>
      <c r="H85" s="5"/>
      <c r="I85" s="4">
        <f t="shared" si="6"/>
        <v>0</v>
      </c>
      <c r="L85" s="6">
        <f t="shared" si="7"/>
        <v>44.55</v>
      </c>
      <c r="M85" s="5">
        <v>445500</v>
      </c>
      <c r="N85" s="5">
        <v>2.2866399999999999E-7</v>
      </c>
      <c r="O85" s="5">
        <v>5.1372599999999998E-8</v>
      </c>
      <c r="Q85" s="5">
        <f t="shared" si="8"/>
        <v>2.8003659999999996E-7</v>
      </c>
      <c r="S85" s="8">
        <f t="shared" si="9"/>
        <v>8.3543138424820981E-10</v>
      </c>
    </row>
    <row r="86" spans="4:19" x14ac:dyDescent="0.25">
      <c r="D86" s="4">
        <f t="shared" si="5"/>
        <v>45.65</v>
      </c>
      <c r="E86" s="5">
        <v>456500</v>
      </c>
      <c r="F86" s="5">
        <v>0</v>
      </c>
      <c r="G86" s="5">
        <v>0</v>
      </c>
      <c r="H86" s="5"/>
      <c r="I86" s="4">
        <f t="shared" si="6"/>
        <v>0</v>
      </c>
      <c r="L86" s="6">
        <f t="shared" si="7"/>
        <v>45.1</v>
      </c>
      <c r="M86" s="5">
        <v>451000</v>
      </c>
      <c r="N86" s="5">
        <v>3.0087400000000001E-9</v>
      </c>
      <c r="O86" s="5">
        <v>0</v>
      </c>
      <c r="Q86" s="5">
        <f t="shared" si="8"/>
        <v>3.0087400000000001E-9</v>
      </c>
      <c r="S86" s="8">
        <f t="shared" si="9"/>
        <v>8.9759546539379486E-12</v>
      </c>
    </row>
    <row r="87" spans="4:19" x14ac:dyDescent="0.25">
      <c r="D87" s="4">
        <f t="shared" si="5"/>
        <v>46.2</v>
      </c>
      <c r="E87" s="5">
        <v>462000</v>
      </c>
      <c r="F87" s="5">
        <v>0</v>
      </c>
      <c r="G87" s="5">
        <v>0</v>
      </c>
      <c r="H87" s="5"/>
      <c r="I87" s="4">
        <f t="shared" si="6"/>
        <v>0</v>
      </c>
      <c r="L87" s="6">
        <f t="shared" si="7"/>
        <v>45.65</v>
      </c>
      <c r="M87" s="5">
        <v>456500</v>
      </c>
      <c r="N87" s="5">
        <v>0</v>
      </c>
      <c r="O87" s="5">
        <v>0</v>
      </c>
      <c r="Q87" s="5">
        <f t="shared" si="8"/>
        <v>0</v>
      </c>
      <c r="S87" s="8">
        <f t="shared" si="9"/>
        <v>0</v>
      </c>
    </row>
    <row r="88" spans="4:19" x14ac:dyDescent="0.25">
      <c r="D88" s="4">
        <f t="shared" si="5"/>
        <v>46.75</v>
      </c>
      <c r="E88" s="5">
        <v>467500</v>
      </c>
      <c r="F88" s="5">
        <v>0</v>
      </c>
      <c r="G88" s="5">
        <v>0</v>
      </c>
      <c r="H88" s="5"/>
      <c r="I88" s="4">
        <f t="shared" si="6"/>
        <v>0</v>
      </c>
      <c r="L88" s="6">
        <f t="shared" si="7"/>
        <v>46.2</v>
      </c>
      <c r="M88" s="5">
        <v>462000</v>
      </c>
      <c r="N88" s="5">
        <v>0</v>
      </c>
      <c r="O88" s="5">
        <v>0</v>
      </c>
      <c r="Q88" s="5">
        <f t="shared" si="8"/>
        <v>0</v>
      </c>
      <c r="S88" s="8">
        <f t="shared" si="9"/>
        <v>0</v>
      </c>
    </row>
    <row r="89" spans="4:19" x14ac:dyDescent="0.25">
      <c r="D89" s="4">
        <f t="shared" si="5"/>
        <v>47.3</v>
      </c>
      <c r="E89" s="5">
        <v>473000</v>
      </c>
      <c r="F89" s="5">
        <v>0</v>
      </c>
      <c r="G89" s="5">
        <v>0</v>
      </c>
      <c r="H89" s="5"/>
      <c r="I89" s="4">
        <f t="shared" si="6"/>
        <v>0</v>
      </c>
      <c r="L89" s="6">
        <f t="shared" si="7"/>
        <v>46.75</v>
      </c>
      <c r="M89" s="5">
        <v>467500</v>
      </c>
      <c r="N89" s="5">
        <v>0</v>
      </c>
      <c r="O89" s="5">
        <v>0</v>
      </c>
      <c r="Q89" s="5">
        <f t="shared" si="8"/>
        <v>0</v>
      </c>
      <c r="S89" s="8">
        <f t="shared" si="9"/>
        <v>0</v>
      </c>
    </row>
    <row r="90" spans="4:19" x14ac:dyDescent="0.25">
      <c r="D90" s="4">
        <f t="shared" si="5"/>
        <v>47.85</v>
      </c>
      <c r="E90" s="5">
        <v>478500</v>
      </c>
      <c r="F90" s="5">
        <v>0</v>
      </c>
      <c r="G90" s="5">
        <v>0</v>
      </c>
      <c r="H90" s="5"/>
      <c r="I90" s="4">
        <f t="shared" si="6"/>
        <v>0</v>
      </c>
      <c r="L90" s="6">
        <f t="shared" si="7"/>
        <v>47.3</v>
      </c>
      <c r="M90" s="5">
        <v>473000</v>
      </c>
      <c r="N90" s="5">
        <v>0</v>
      </c>
      <c r="O90" s="5">
        <v>0</v>
      </c>
      <c r="Q90" s="5">
        <f t="shared" si="8"/>
        <v>0</v>
      </c>
      <c r="S90" s="8">
        <f t="shared" si="9"/>
        <v>0</v>
      </c>
    </row>
    <row r="91" spans="4:19" x14ac:dyDescent="0.25">
      <c r="D91" s="4">
        <f t="shared" si="5"/>
        <v>48.4</v>
      </c>
      <c r="E91" s="5">
        <v>484000</v>
      </c>
      <c r="F91" s="5">
        <v>0</v>
      </c>
      <c r="G91" s="5">
        <v>0</v>
      </c>
      <c r="H91" s="5"/>
      <c r="I91" s="4">
        <f t="shared" si="6"/>
        <v>0</v>
      </c>
      <c r="L91" s="6">
        <f t="shared" si="7"/>
        <v>47.85</v>
      </c>
      <c r="M91" s="5">
        <v>478500</v>
      </c>
      <c r="N91" s="5">
        <v>0</v>
      </c>
      <c r="O91" s="5">
        <v>0</v>
      </c>
      <c r="Q91" s="5">
        <f t="shared" si="8"/>
        <v>0</v>
      </c>
      <c r="S91" s="8">
        <f t="shared" si="9"/>
        <v>0</v>
      </c>
    </row>
    <row r="92" spans="4:19" x14ac:dyDescent="0.25">
      <c r="D92" s="4">
        <f t="shared" si="5"/>
        <v>48.95</v>
      </c>
      <c r="E92" s="5">
        <v>489500</v>
      </c>
      <c r="F92" s="5">
        <v>0</v>
      </c>
      <c r="G92" s="5">
        <v>0</v>
      </c>
      <c r="H92" s="5"/>
      <c r="I92" s="4">
        <f t="shared" si="6"/>
        <v>0</v>
      </c>
      <c r="L92" s="6">
        <f t="shared" si="7"/>
        <v>48.4</v>
      </c>
      <c r="M92" s="5">
        <v>484000</v>
      </c>
      <c r="N92" s="5">
        <v>0</v>
      </c>
      <c r="O92" s="5">
        <v>0</v>
      </c>
      <c r="Q92" s="5">
        <f t="shared" si="8"/>
        <v>0</v>
      </c>
      <c r="S92" s="8">
        <f t="shared" si="9"/>
        <v>0</v>
      </c>
    </row>
    <row r="93" spans="4:19" x14ac:dyDescent="0.25">
      <c r="D93" s="4">
        <f t="shared" si="5"/>
        <v>49.5</v>
      </c>
      <c r="E93" s="5">
        <v>495000</v>
      </c>
      <c r="F93" s="5">
        <v>0</v>
      </c>
      <c r="G93" s="5">
        <v>0</v>
      </c>
      <c r="H93" s="5"/>
      <c r="I93" s="4">
        <f t="shared" si="6"/>
        <v>0</v>
      </c>
      <c r="L93" s="6">
        <f t="shared" si="7"/>
        <v>48.95</v>
      </c>
      <c r="M93" s="5">
        <v>489500</v>
      </c>
      <c r="N93" s="5">
        <v>0</v>
      </c>
      <c r="O93" s="5">
        <v>0</v>
      </c>
      <c r="Q93" s="5">
        <f t="shared" si="8"/>
        <v>0</v>
      </c>
      <c r="S93" s="8">
        <f t="shared" si="9"/>
        <v>0</v>
      </c>
    </row>
    <row r="94" spans="4:19" x14ac:dyDescent="0.25">
      <c r="D94" s="4">
        <f t="shared" si="5"/>
        <v>50.05</v>
      </c>
      <c r="E94" s="5">
        <v>500500</v>
      </c>
      <c r="F94" s="5">
        <v>0</v>
      </c>
      <c r="G94" s="5">
        <v>0</v>
      </c>
      <c r="H94" s="5"/>
      <c r="I94" s="4">
        <f t="shared" si="6"/>
        <v>0</v>
      </c>
      <c r="L94" s="6">
        <f t="shared" si="7"/>
        <v>49.5</v>
      </c>
      <c r="M94" s="5">
        <v>495000</v>
      </c>
      <c r="N94" s="5">
        <v>0</v>
      </c>
      <c r="O94" s="5">
        <v>0</v>
      </c>
      <c r="Q94" s="5">
        <f t="shared" si="8"/>
        <v>0</v>
      </c>
      <c r="S94" s="8">
        <f t="shared" si="9"/>
        <v>0</v>
      </c>
    </row>
    <row r="95" spans="4:19" x14ac:dyDescent="0.25">
      <c r="D95" s="4">
        <f t="shared" si="5"/>
        <v>50.6</v>
      </c>
      <c r="E95" s="5">
        <v>506000</v>
      </c>
      <c r="F95" s="5">
        <v>0</v>
      </c>
      <c r="G95" s="5">
        <v>0</v>
      </c>
      <c r="H95" s="5"/>
      <c r="I95" s="4">
        <f t="shared" si="6"/>
        <v>0</v>
      </c>
      <c r="L95" s="6">
        <f t="shared" si="7"/>
        <v>50.05</v>
      </c>
      <c r="M95" s="5">
        <v>500500</v>
      </c>
      <c r="N95" s="5">
        <v>0</v>
      </c>
      <c r="O95" s="5">
        <v>0</v>
      </c>
      <c r="Q95" s="5">
        <f t="shared" si="8"/>
        <v>0</v>
      </c>
      <c r="S95" s="8">
        <f t="shared" si="9"/>
        <v>0</v>
      </c>
    </row>
    <row r="96" spans="4:19" x14ac:dyDescent="0.25">
      <c r="D96" s="4">
        <f t="shared" si="5"/>
        <v>51.15</v>
      </c>
      <c r="E96" s="5">
        <v>511500</v>
      </c>
      <c r="F96" s="5">
        <v>0</v>
      </c>
      <c r="G96" s="5">
        <v>0</v>
      </c>
      <c r="H96" s="5"/>
      <c r="I96" s="4">
        <f t="shared" si="6"/>
        <v>0</v>
      </c>
      <c r="L96" s="6">
        <f t="shared" si="7"/>
        <v>50.6</v>
      </c>
      <c r="M96" s="5">
        <v>506000</v>
      </c>
      <c r="N96" s="5">
        <v>0</v>
      </c>
      <c r="O96" s="5">
        <v>0</v>
      </c>
      <c r="Q96" s="5">
        <f t="shared" si="8"/>
        <v>0</v>
      </c>
      <c r="S96" s="8">
        <f t="shared" si="9"/>
        <v>0</v>
      </c>
    </row>
    <row r="97" spans="4:19" x14ac:dyDescent="0.25">
      <c r="D97" s="4">
        <f t="shared" si="5"/>
        <v>51.7</v>
      </c>
      <c r="E97" s="5">
        <v>517000</v>
      </c>
      <c r="F97" s="5">
        <v>0</v>
      </c>
      <c r="G97" s="5">
        <v>0</v>
      </c>
      <c r="H97" s="5"/>
      <c r="I97" s="4">
        <f t="shared" si="6"/>
        <v>0</v>
      </c>
      <c r="L97" s="6">
        <f t="shared" si="7"/>
        <v>51.15</v>
      </c>
      <c r="M97" s="5">
        <v>511500</v>
      </c>
      <c r="N97" s="5">
        <v>0</v>
      </c>
      <c r="O97" s="5">
        <v>0</v>
      </c>
      <c r="Q97" s="5">
        <f t="shared" si="8"/>
        <v>0</v>
      </c>
      <c r="S97" s="8">
        <f t="shared" si="9"/>
        <v>0</v>
      </c>
    </row>
    <row r="98" spans="4:19" x14ac:dyDescent="0.25">
      <c r="D98" s="4">
        <f t="shared" si="5"/>
        <v>52.25</v>
      </c>
      <c r="E98" s="5">
        <v>522500</v>
      </c>
      <c r="F98" s="5">
        <v>0</v>
      </c>
      <c r="G98" s="5">
        <v>0</v>
      </c>
      <c r="H98" s="5"/>
      <c r="I98" s="4">
        <f t="shared" si="6"/>
        <v>0</v>
      </c>
      <c r="L98" s="6">
        <f t="shared" si="7"/>
        <v>51.7</v>
      </c>
      <c r="M98" s="5">
        <v>517000</v>
      </c>
      <c r="N98" s="5">
        <v>0</v>
      </c>
      <c r="O98" s="5">
        <v>0</v>
      </c>
      <c r="Q98" s="5">
        <f t="shared" si="8"/>
        <v>0</v>
      </c>
      <c r="S98" s="8">
        <f t="shared" si="9"/>
        <v>0</v>
      </c>
    </row>
    <row r="99" spans="4:19" x14ac:dyDescent="0.25">
      <c r="D99" s="4">
        <f t="shared" si="5"/>
        <v>52.8</v>
      </c>
      <c r="E99" s="5">
        <v>528000</v>
      </c>
      <c r="F99" s="5">
        <v>0</v>
      </c>
      <c r="G99" s="5">
        <v>0</v>
      </c>
      <c r="H99" s="5"/>
      <c r="I99" s="4">
        <f t="shared" si="6"/>
        <v>0</v>
      </c>
      <c r="L99" s="6">
        <f t="shared" si="7"/>
        <v>52.25</v>
      </c>
      <c r="M99" s="5">
        <v>522500</v>
      </c>
      <c r="N99" s="5">
        <v>0</v>
      </c>
      <c r="O99" s="5">
        <v>0</v>
      </c>
      <c r="Q99" s="5">
        <f t="shared" si="8"/>
        <v>0</v>
      </c>
      <c r="S99" s="8">
        <f t="shared" si="9"/>
        <v>0</v>
      </c>
    </row>
    <row r="100" spans="4:19" x14ac:dyDescent="0.25">
      <c r="D100" s="4">
        <f t="shared" si="5"/>
        <v>53.35</v>
      </c>
      <c r="E100" s="5">
        <v>533500</v>
      </c>
      <c r="F100" s="5">
        <v>0</v>
      </c>
      <c r="G100" s="5">
        <v>0</v>
      </c>
      <c r="H100" s="5"/>
      <c r="I100" s="4">
        <f t="shared" si="6"/>
        <v>0</v>
      </c>
      <c r="L100" s="6">
        <f t="shared" si="7"/>
        <v>52.8</v>
      </c>
      <c r="M100" s="5">
        <v>528000</v>
      </c>
      <c r="N100" s="5">
        <v>0</v>
      </c>
      <c r="O100" s="5">
        <v>0</v>
      </c>
      <c r="Q100" s="5">
        <f t="shared" si="8"/>
        <v>0</v>
      </c>
      <c r="S100" s="8">
        <f t="shared" si="9"/>
        <v>0</v>
      </c>
    </row>
    <row r="101" spans="4:19" x14ac:dyDescent="0.25">
      <c r="D101" s="4">
        <f t="shared" si="5"/>
        <v>53.9</v>
      </c>
      <c r="E101" s="5">
        <v>539000</v>
      </c>
      <c r="F101" s="5">
        <v>0</v>
      </c>
      <c r="G101" s="5">
        <v>0</v>
      </c>
      <c r="H101" s="5"/>
      <c r="I101" s="4">
        <f t="shared" si="6"/>
        <v>0</v>
      </c>
      <c r="L101" s="6">
        <f t="shared" si="7"/>
        <v>53.35</v>
      </c>
      <c r="M101" s="5">
        <v>533500</v>
      </c>
      <c r="N101" s="5">
        <v>0</v>
      </c>
      <c r="O101" s="5">
        <v>0</v>
      </c>
      <c r="Q101" s="5">
        <f t="shared" si="8"/>
        <v>0</v>
      </c>
      <c r="S101" s="8">
        <f t="shared" si="9"/>
        <v>0</v>
      </c>
    </row>
    <row r="102" spans="4:19" x14ac:dyDescent="0.25">
      <c r="D102" s="4">
        <f t="shared" si="5"/>
        <v>54.45</v>
      </c>
      <c r="E102" s="5">
        <v>544500</v>
      </c>
      <c r="F102" s="5">
        <v>0</v>
      </c>
      <c r="G102" s="5">
        <v>0</v>
      </c>
      <c r="H102" s="5"/>
      <c r="I102" s="4">
        <f t="shared" si="6"/>
        <v>0</v>
      </c>
      <c r="L102" s="6">
        <f t="shared" si="7"/>
        <v>53.9</v>
      </c>
      <c r="M102" s="5">
        <v>539000</v>
      </c>
      <c r="N102" s="5">
        <v>0</v>
      </c>
      <c r="O102" s="5">
        <v>0</v>
      </c>
      <c r="Q102" s="5">
        <f t="shared" si="8"/>
        <v>0</v>
      </c>
      <c r="S102" s="8">
        <f t="shared" si="9"/>
        <v>0</v>
      </c>
    </row>
    <row r="103" spans="4:19" x14ac:dyDescent="0.25">
      <c r="D103" s="4">
        <f t="shared" si="5"/>
        <v>55</v>
      </c>
      <c r="E103" s="5">
        <v>550000</v>
      </c>
      <c r="F103" s="5">
        <v>0</v>
      </c>
      <c r="G103" s="5">
        <v>0</v>
      </c>
      <c r="H103" s="5"/>
      <c r="I103" s="4">
        <f t="shared" si="6"/>
        <v>0</v>
      </c>
      <c r="L103" s="6">
        <f t="shared" si="7"/>
        <v>54.45</v>
      </c>
      <c r="M103" s="5">
        <v>544500</v>
      </c>
      <c r="N103" s="5">
        <v>0</v>
      </c>
      <c r="O103" s="5">
        <v>0</v>
      </c>
      <c r="Q103" s="5">
        <f t="shared" si="8"/>
        <v>0</v>
      </c>
      <c r="S103" s="8">
        <f t="shared" si="9"/>
        <v>0</v>
      </c>
    </row>
    <row r="104" spans="4:19" x14ac:dyDescent="0.25">
      <c r="D104" s="4"/>
      <c r="H104" s="5"/>
      <c r="I104" s="4"/>
      <c r="L104" s="6">
        <f t="shared" si="7"/>
        <v>55</v>
      </c>
      <c r="M104" s="5">
        <v>550000</v>
      </c>
      <c r="N104" s="5">
        <v>0</v>
      </c>
      <c r="O104" s="5">
        <v>0</v>
      </c>
      <c r="Q104" s="5">
        <f t="shared" si="8"/>
        <v>0</v>
      </c>
      <c r="S104" s="8">
        <f t="shared" si="9"/>
        <v>0</v>
      </c>
    </row>
    <row r="105" spans="4:19" x14ac:dyDescent="0.25">
      <c r="D105" s="4"/>
      <c r="H105" s="5"/>
      <c r="I105" s="4"/>
      <c r="L105" s="6"/>
      <c r="Q105" s="5"/>
      <c r="S105" s="8"/>
    </row>
    <row r="106" spans="4:19" x14ac:dyDescent="0.25">
      <c r="D106" s="4"/>
      <c r="H106" s="5"/>
      <c r="I106" s="4"/>
      <c r="L106" s="6"/>
      <c r="Q106" s="5"/>
      <c r="S106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5199-DA9C-411D-B569-8839EC4A7F3B}">
  <dimension ref="C1:S106"/>
  <sheetViews>
    <sheetView zoomScale="115" zoomScaleNormal="115" workbookViewId="0">
      <selection activeCell="Q5" sqref="Q5"/>
    </sheetView>
  </sheetViews>
  <sheetFormatPr defaultRowHeight="15" x14ac:dyDescent="0.25"/>
  <cols>
    <col min="3" max="3" width="20.7109375" customWidth="1"/>
    <col min="16" max="16" width="9.140625" style="2"/>
    <col min="17" max="17" width="15.7109375" style="2" customWidth="1"/>
    <col min="18" max="18" width="9.140625" style="3"/>
    <col min="19" max="19" width="9.140625" style="7"/>
  </cols>
  <sheetData>
    <row r="1" spans="3:19" x14ac:dyDescent="0.25">
      <c r="C1" t="s">
        <v>15</v>
      </c>
      <c r="D1" t="s">
        <v>16</v>
      </c>
      <c r="E1" t="s">
        <v>16</v>
      </c>
      <c r="J1" t="s">
        <v>17</v>
      </c>
      <c r="K1" t="s">
        <v>18</v>
      </c>
      <c r="L1" t="s">
        <v>19</v>
      </c>
    </row>
    <row r="2" spans="3:19" x14ac:dyDescent="0.25">
      <c r="C2" t="s">
        <v>17</v>
      </c>
      <c r="D2" t="s">
        <v>20</v>
      </c>
      <c r="E2" t="s">
        <v>20</v>
      </c>
      <c r="J2" t="s">
        <v>22</v>
      </c>
      <c r="K2" t="s">
        <v>23</v>
      </c>
      <c r="L2" t="s">
        <v>24</v>
      </c>
    </row>
    <row r="3" spans="3:19" x14ac:dyDescent="0.25">
      <c r="C3" t="s">
        <v>22</v>
      </c>
      <c r="D3" t="s">
        <v>26</v>
      </c>
      <c r="E3" t="s">
        <v>27</v>
      </c>
      <c r="J3" t="s">
        <v>28</v>
      </c>
      <c r="K3" t="s">
        <v>29</v>
      </c>
      <c r="L3" t="s">
        <v>30</v>
      </c>
      <c r="P3" s="2" t="s">
        <v>35</v>
      </c>
      <c r="Q3" s="2" t="s">
        <v>25</v>
      </c>
      <c r="R3" s="3" t="s">
        <v>35</v>
      </c>
      <c r="S3" s="7" t="s">
        <v>32</v>
      </c>
    </row>
    <row r="4" spans="3:19" x14ac:dyDescent="0.25">
      <c r="C4" t="s">
        <v>28</v>
      </c>
      <c r="D4" t="s">
        <v>28</v>
      </c>
      <c r="E4" t="s">
        <v>30</v>
      </c>
      <c r="G4" t="s">
        <v>33</v>
      </c>
      <c r="H4" t="s">
        <v>34</v>
      </c>
      <c r="J4" s="5">
        <v>5500.01</v>
      </c>
      <c r="K4" s="5">
        <v>0</v>
      </c>
      <c r="L4" s="5">
        <v>0</v>
      </c>
      <c r="P4" s="4">
        <v>0.55000100000000007</v>
      </c>
      <c r="Q4" s="4">
        <v>0</v>
      </c>
      <c r="R4" s="6">
        <v>0.55000100000000007</v>
      </c>
      <c r="S4" s="8">
        <v>1.5155966587112168E-8</v>
      </c>
    </row>
    <row r="5" spans="3:19" x14ac:dyDescent="0.25">
      <c r="C5" s="5">
        <v>5500.01</v>
      </c>
      <c r="D5" s="5">
        <v>1.27571E-6</v>
      </c>
      <c r="E5" s="5">
        <v>3.80457E-6</v>
      </c>
      <c r="G5" s="5">
        <f>C5/10000</f>
        <v>0.55000100000000007</v>
      </c>
      <c r="H5" s="5">
        <f>D5+E5</f>
        <v>5.0802799999999997E-6</v>
      </c>
      <c r="J5" s="5">
        <v>11000</v>
      </c>
      <c r="K5" s="5">
        <v>0.30113000000000001</v>
      </c>
      <c r="L5" s="5">
        <v>0</v>
      </c>
      <c r="P5" s="4">
        <v>1.1000000000000001</v>
      </c>
      <c r="Q5" s="4">
        <v>8.9835918854415261E-10</v>
      </c>
      <c r="R5" s="6">
        <v>1.1000000000000001</v>
      </c>
      <c r="S5" s="8">
        <v>3.8699582338902139E-8</v>
      </c>
    </row>
    <row r="6" spans="3:19" x14ac:dyDescent="0.25">
      <c r="C6" s="5">
        <v>11000</v>
      </c>
      <c r="D6" s="5">
        <v>4.8621200000000001E-6</v>
      </c>
      <c r="E6" s="5">
        <v>8.1099800000000006E-6</v>
      </c>
      <c r="G6" s="5">
        <f t="shared" ref="G6:G69" si="0">C6/10000</f>
        <v>1.1000000000000001</v>
      </c>
      <c r="H6" s="5">
        <f t="shared" ref="H6:H69" si="1">D6+E6</f>
        <v>1.2972100000000001E-5</v>
      </c>
      <c r="J6" s="5">
        <v>16500</v>
      </c>
      <c r="K6" s="5">
        <v>0</v>
      </c>
      <c r="L6" s="5">
        <v>0</v>
      </c>
      <c r="P6" s="4">
        <v>1.65</v>
      </c>
      <c r="Q6" s="4">
        <v>0</v>
      </c>
      <c r="R6" s="6">
        <v>1.65</v>
      </c>
      <c r="S6" s="8">
        <v>3.1010769689737468E-8</v>
      </c>
    </row>
    <row r="7" spans="3:19" x14ac:dyDescent="0.25">
      <c r="C7" s="5">
        <v>16500</v>
      </c>
      <c r="D7" s="5">
        <v>3.8451699999999996E-6</v>
      </c>
      <c r="E7" s="5">
        <v>6.5496400000000002E-6</v>
      </c>
      <c r="G7" s="5">
        <f t="shared" si="0"/>
        <v>1.65</v>
      </c>
      <c r="H7" s="5">
        <f t="shared" si="1"/>
        <v>1.039481E-5</v>
      </c>
      <c r="J7" s="5">
        <v>22000</v>
      </c>
      <c r="K7" s="5">
        <v>0.60226000000000002</v>
      </c>
      <c r="L7" s="5">
        <v>0</v>
      </c>
      <c r="P7" s="4">
        <v>2.2000000000000002</v>
      </c>
      <c r="Q7" s="4">
        <v>1.7967183770883052E-9</v>
      </c>
      <c r="R7" s="6">
        <v>2.2000000000000002</v>
      </c>
      <c r="S7" s="8">
        <v>5.2656563245823383E-8</v>
      </c>
    </row>
    <row r="8" spans="3:19" x14ac:dyDescent="0.25">
      <c r="C8" s="5">
        <v>22000</v>
      </c>
      <c r="D8" s="5">
        <v>4.7778799999999999E-6</v>
      </c>
      <c r="E8" s="5">
        <v>1.2872599999999999E-5</v>
      </c>
      <c r="G8" s="5">
        <f t="shared" si="0"/>
        <v>2.2000000000000002</v>
      </c>
      <c r="H8" s="5">
        <f t="shared" si="1"/>
        <v>1.7650479999999998E-5</v>
      </c>
      <c r="J8" s="5">
        <v>27500</v>
      </c>
      <c r="K8" s="5">
        <v>0</v>
      </c>
      <c r="L8" s="5">
        <v>0</v>
      </c>
      <c r="P8" s="4">
        <v>2.75</v>
      </c>
      <c r="Q8" s="4">
        <v>0</v>
      </c>
      <c r="R8" s="6">
        <v>2.75</v>
      </c>
      <c r="S8" s="8">
        <v>6.6492661097852038E-8</v>
      </c>
    </row>
    <row r="9" spans="3:19" x14ac:dyDescent="0.25">
      <c r="C9" s="5">
        <v>27500</v>
      </c>
      <c r="D9" s="5">
        <v>4.90124E-6</v>
      </c>
      <c r="E9" s="5">
        <v>1.7387100000000002E-5</v>
      </c>
      <c r="G9" s="5">
        <f t="shared" si="0"/>
        <v>2.75</v>
      </c>
      <c r="H9" s="5">
        <f t="shared" si="1"/>
        <v>2.2288340000000001E-5</v>
      </c>
      <c r="J9" s="5">
        <v>33000</v>
      </c>
      <c r="K9" s="5">
        <v>0.30113000000000001</v>
      </c>
      <c r="L9" s="5">
        <v>0</v>
      </c>
      <c r="P9" s="4">
        <v>3.3</v>
      </c>
      <c r="Q9" s="4">
        <v>8.9835918854415261E-10</v>
      </c>
      <c r="R9" s="6">
        <v>3.3</v>
      </c>
      <c r="S9" s="8">
        <v>3.9993168257756553E-8</v>
      </c>
    </row>
    <row r="10" spans="3:19" x14ac:dyDescent="0.25">
      <c r="C10" s="5">
        <v>33000</v>
      </c>
      <c r="D10" s="5">
        <v>5.0276099999999998E-6</v>
      </c>
      <c r="E10" s="5">
        <v>8.3781000000000003E-6</v>
      </c>
      <c r="G10" s="5">
        <f t="shared" si="0"/>
        <v>3.3</v>
      </c>
      <c r="H10" s="5">
        <f t="shared" si="1"/>
        <v>1.340571E-5</v>
      </c>
      <c r="J10" s="5">
        <v>38500</v>
      </c>
      <c r="K10" s="5">
        <v>0.30113000000000001</v>
      </c>
      <c r="L10" s="5">
        <v>0</v>
      </c>
      <c r="P10" s="4">
        <v>3.85</v>
      </c>
      <c r="Q10" s="4">
        <v>8.9835918854415261E-10</v>
      </c>
      <c r="R10" s="6">
        <v>3.85</v>
      </c>
      <c r="S10" s="8">
        <v>6.3156622911694509E-8</v>
      </c>
    </row>
    <row r="11" spans="3:19" x14ac:dyDescent="0.25">
      <c r="C11" s="5">
        <v>38500</v>
      </c>
      <c r="D11" s="5">
        <v>5.1630000000000004E-6</v>
      </c>
      <c r="E11" s="5">
        <v>1.6007100000000001E-5</v>
      </c>
      <c r="G11" s="5">
        <f t="shared" si="0"/>
        <v>3.85</v>
      </c>
      <c r="H11" s="5">
        <f t="shared" si="1"/>
        <v>2.1170100000000003E-5</v>
      </c>
      <c r="J11" s="5">
        <v>44000</v>
      </c>
      <c r="K11" s="5">
        <v>0</v>
      </c>
      <c r="L11" s="5">
        <v>0</v>
      </c>
      <c r="P11" s="4">
        <v>4.4000000000000004</v>
      </c>
      <c r="Q11" s="4">
        <v>0</v>
      </c>
      <c r="R11" s="6">
        <v>4.4000000000000004</v>
      </c>
      <c r="S11" s="8">
        <v>5.922139021479713E-8</v>
      </c>
    </row>
    <row r="12" spans="3:19" x14ac:dyDescent="0.25">
      <c r="C12" s="5">
        <v>44000</v>
      </c>
      <c r="D12" s="5">
        <v>5.2021100000000004E-6</v>
      </c>
      <c r="E12" s="5">
        <v>1.46489E-5</v>
      </c>
      <c r="G12" s="5">
        <f t="shared" si="0"/>
        <v>4.4000000000000004</v>
      </c>
      <c r="H12" s="5">
        <f t="shared" si="1"/>
        <v>1.9851010000000001E-5</v>
      </c>
      <c r="J12" s="5">
        <v>49500</v>
      </c>
      <c r="K12" s="5">
        <v>0.30113000000000001</v>
      </c>
      <c r="L12" s="5">
        <v>0</v>
      </c>
      <c r="P12" s="4">
        <v>4.95</v>
      </c>
      <c r="Q12" s="4">
        <v>8.9835918854415261E-10</v>
      </c>
      <c r="R12" s="6">
        <v>4.95</v>
      </c>
      <c r="S12" s="8">
        <v>4.2055757756563232E-8</v>
      </c>
    </row>
    <row r="13" spans="3:19" x14ac:dyDescent="0.25">
      <c r="C13" s="5">
        <v>49500</v>
      </c>
      <c r="D13" s="5">
        <v>5.3104300000000004E-6</v>
      </c>
      <c r="E13" s="5">
        <v>8.7866600000000007E-6</v>
      </c>
      <c r="G13" s="5">
        <f t="shared" si="0"/>
        <v>4.95</v>
      </c>
      <c r="H13" s="5">
        <f t="shared" si="1"/>
        <v>1.409709E-5</v>
      </c>
      <c r="J13" s="5">
        <v>55000</v>
      </c>
      <c r="K13" s="5">
        <v>0.30113000000000001</v>
      </c>
      <c r="L13" s="5">
        <v>0</v>
      </c>
      <c r="P13" s="4">
        <v>5.5</v>
      </c>
      <c r="Q13" s="4">
        <v>8.9835918854415261E-10</v>
      </c>
      <c r="R13" s="6">
        <v>5.5</v>
      </c>
      <c r="S13" s="8">
        <v>7.2803639618138422E-8</v>
      </c>
    </row>
    <row r="14" spans="3:19" x14ac:dyDescent="0.25">
      <c r="C14" s="5">
        <v>55000</v>
      </c>
      <c r="D14" s="5">
        <v>5.2953799999999996E-6</v>
      </c>
      <c r="E14" s="5">
        <v>1.9108400000000002E-5</v>
      </c>
      <c r="G14" s="5">
        <f t="shared" si="0"/>
        <v>5.5</v>
      </c>
      <c r="H14" s="5">
        <f t="shared" si="1"/>
        <v>2.440378E-5</v>
      </c>
      <c r="J14" s="5">
        <v>60500</v>
      </c>
      <c r="K14" s="5">
        <v>0</v>
      </c>
      <c r="L14" s="5">
        <v>0</v>
      </c>
      <c r="P14" s="4">
        <v>6.05</v>
      </c>
      <c r="Q14" s="4">
        <v>0</v>
      </c>
      <c r="R14" s="6">
        <v>6.05</v>
      </c>
      <c r="S14" s="8">
        <v>6.4623031026252981E-8</v>
      </c>
    </row>
    <row r="15" spans="3:19" x14ac:dyDescent="0.25">
      <c r="C15" s="5">
        <v>60500</v>
      </c>
      <c r="D15" s="5">
        <v>5.4879399999999998E-6</v>
      </c>
      <c r="E15" s="5">
        <v>1.6173700000000001E-5</v>
      </c>
      <c r="G15" s="5">
        <f t="shared" si="0"/>
        <v>6.05</v>
      </c>
      <c r="H15" s="5">
        <f t="shared" si="1"/>
        <v>2.1661639999999999E-5</v>
      </c>
      <c r="J15" s="5">
        <v>66000</v>
      </c>
      <c r="K15" s="5">
        <v>0.30113000000000001</v>
      </c>
      <c r="L15" s="5">
        <v>0</v>
      </c>
      <c r="P15" s="4">
        <v>6.6</v>
      </c>
      <c r="Q15" s="4">
        <v>8.9835918854415261E-10</v>
      </c>
      <c r="R15" s="6">
        <v>6.6</v>
      </c>
      <c r="S15" s="8">
        <v>4.5149791169451065E-8</v>
      </c>
    </row>
    <row r="16" spans="3:19" x14ac:dyDescent="0.25">
      <c r="C16" s="5">
        <v>66000</v>
      </c>
      <c r="D16" s="5">
        <v>5.4578599999999996E-6</v>
      </c>
      <c r="E16" s="5">
        <v>9.6763499999999993E-6</v>
      </c>
      <c r="G16" s="5">
        <f t="shared" si="0"/>
        <v>6.6</v>
      </c>
      <c r="H16" s="5">
        <f t="shared" si="1"/>
        <v>1.5134209999999999E-5</v>
      </c>
      <c r="J16" s="5">
        <v>71500</v>
      </c>
      <c r="K16" s="5">
        <v>0.30113000000000001</v>
      </c>
      <c r="L16" s="5">
        <v>0</v>
      </c>
      <c r="P16" s="4">
        <v>7.15</v>
      </c>
      <c r="Q16" s="4">
        <v>8.9835918854415261E-10</v>
      </c>
      <c r="R16" s="6">
        <v>7.15</v>
      </c>
      <c r="S16" s="8">
        <v>4.5890513126491649E-8</v>
      </c>
    </row>
    <row r="17" spans="3:19" x14ac:dyDescent="0.25">
      <c r="C17" s="5">
        <v>71500</v>
      </c>
      <c r="D17" s="5">
        <v>5.6895299999999999E-6</v>
      </c>
      <c r="E17" s="5">
        <v>9.6929699999999998E-6</v>
      </c>
      <c r="G17" s="5">
        <f t="shared" si="0"/>
        <v>7.15</v>
      </c>
      <c r="H17" s="5">
        <f t="shared" si="1"/>
        <v>1.5382500000000001E-5</v>
      </c>
      <c r="J17" s="5">
        <v>77000</v>
      </c>
      <c r="K17" s="5">
        <v>0.30113000000000001</v>
      </c>
      <c r="L17" s="5">
        <v>0</v>
      </c>
      <c r="P17" s="4">
        <v>7.7</v>
      </c>
      <c r="Q17" s="4">
        <v>8.9835918854415261E-10</v>
      </c>
      <c r="R17" s="6">
        <v>7.7</v>
      </c>
      <c r="S17" s="8">
        <v>5.2327714797136035E-8</v>
      </c>
    </row>
    <row r="18" spans="3:19" x14ac:dyDescent="0.25">
      <c r="C18" s="5">
        <v>77000</v>
      </c>
      <c r="D18" s="5">
        <v>5.8008499999999997E-6</v>
      </c>
      <c r="E18" s="5">
        <v>1.17394E-5</v>
      </c>
      <c r="G18" s="5">
        <f t="shared" si="0"/>
        <v>7.7</v>
      </c>
      <c r="H18" s="5">
        <f t="shared" si="1"/>
        <v>1.7540249999999999E-5</v>
      </c>
      <c r="J18" s="5">
        <v>82500</v>
      </c>
      <c r="K18" s="5">
        <v>0</v>
      </c>
      <c r="L18" s="5">
        <v>0</v>
      </c>
      <c r="P18" s="4">
        <v>8.25</v>
      </c>
      <c r="Q18" s="4">
        <v>0</v>
      </c>
      <c r="R18" s="6">
        <v>8.25</v>
      </c>
      <c r="S18" s="8">
        <v>5.0272643198090684E-8</v>
      </c>
    </row>
    <row r="19" spans="3:19" x14ac:dyDescent="0.25">
      <c r="C19" s="5">
        <v>82500</v>
      </c>
      <c r="D19" s="5">
        <v>5.8820900000000001E-6</v>
      </c>
      <c r="E19" s="5">
        <v>1.09693E-5</v>
      </c>
      <c r="G19" s="5">
        <f t="shared" si="0"/>
        <v>8.25</v>
      </c>
      <c r="H19" s="5">
        <f t="shared" si="1"/>
        <v>1.6851389999999999E-5</v>
      </c>
      <c r="J19" s="5">
        <v>88000</v>
      </c>
      <c r="K19" s="5">
        <v>0.30113000000000001</v>
      </c>
      <c r="L19" s="5">
        <v>0</v>
      </c>
      <c r="P19" s="4">
        <v>8.8000000000000007</v>
      </c>
      <c r="Q19" s="4">
        <v>8.9835918854415261E-10</v>
      </c>
      <c r="R19" s="6">
        <v>8.8000000000000007</v>
      </c>
      <c r="S19" s="8">
        <v>6.4520077565632468E-8</v>
      </c>
    </row>
    <row r="20" spans="3:19" x14ac:dyDescent="0.25">
      <c r="C20" s="5">
        <v>88000</v>
      </c>
      <c r="D20" s="5">
        <v>5.7948300000000004E-6</v>
      </c>
      <c r="E20" s="5">
        <v>1.5832300000000001E-5</v>
      </c>
      <c r="G20" s="5">
        <f t="shared" si="0"/>
        <v>8.8000000000000007</v>
      </c>
      <c r="H20" s="5">
        <f t="shared" si="1"/>
        <v>2.162713E-5</v>
      </c>
      <c r="J20" s="5">
        <v>93500</v>
      </c>
      <c r="K20" s="5">
        <v>0.90337999999999996</v>
      </c>
      <c r="L20" s="5">
        <v>0</v>
      </c>
      <c r="P20" s="4">
        <v>9.35</v>
      </c>
      <c r="Q20" s="4">
        <v>2.6950477326968968E-9</v>
      </c>
      <c r="R20" s="6">
        <v>9.35</v>
      </c>
      <c r="S20" s="8">
        <v>4.970501193317422E-8</v>
      </c>
    </row>
    <row r="21" spans="3:19" x14ac:dyDescent="0.25">
      <c r="C21" s="5">
        <v>93500</v>
      </c>
      <c r="D21" s="5">
        <v>5.9272200000000003E-6</v>
      </c>
      <c r="E21" s="5">
        <v>1.0733900000000001E-5</v>
      </c>
      <c r="G21" s="5">
        <f t="shared" si="0"/>
        <v>9.35</v>
      </c>
      <c r="H21" s="5">
        <f t="shared" si="1"/>
        <v>1.666112E-5</v>
      </c>
      <c r="J21" s="5">
        <v>99000</v>
      </c>
      <c r="K21" s="5">
        <v>0.30113000000000001</v>
      </c>
      <c r="L21" s="5">
        <v>0</v>
      </c>
      <c r="P21" s="4">
        <v>9.9</v>
      </c>
      <c r="Q21" s="4">
        <v>8.9835918854415261E-10</v>
      </c>
      <c r="R21" s="6">
        <v>9.9</v>
      </c>
      <c r="S21" s="8">
        <v>4.9050954653937949E-8</v>
      </c>
    </row>
    <row r="22" spans="3:19" x14ac:dyDescent="0.25">
      <c r="C22" s="5">
        <v>99000</v>
      </c>
      <c r="D22" s="5">
        <v>5.9813800000000003E-6</v>
      </c>
      <c r="E22" s="5">
        <v>1.0460499999999999E-5</v>
      </c>
      <c r="G22" s="5">
        <f t="shared" si="0"/>
        <v>9.9</v>
      </c>
      <c r="H22" s="5">
        <f t="shared" si="1"/>
        <v>1.6441880000000001E-5</v>
      </c>
      <c r="J22" s="5">
        <v>104500</v>
      </c>
      <c r="K22" s="5">
        <v>0</v>
      </c>
      <c r="L22" s="5">
        <v>0</v>
      </c>
      <c r="P22" s="4">
        <v>10.45</v>
      </c>
      <c r="Q22" s="4">
        <v>0</v>
      </c>
      <c r="R22" s="6">
        <v>10.45</v>
      </c>
      <c r="S22" s="8">
        <v>6.4850596658711218E-8</v>
      </c>
    </row>
    <row r="23" spans="3:19" x14ac:dyDescent="0.25">
      <c r="C23" s="5">
        <v>104500</v>
      </c>
      <c r="D23" s="5">
        <v>5.8580200000000002E-6</v>
      </c>
      <c r="E23" s="5">
        <v>1.58799E-5</v>
      </c>
      <c r="G23" s="5">
        <f t="shared" si="0"/>
        <v>10.45</v>
      </c>
      <c r="H23" s="5">
        <f t="shared" si="1"/>
        <v>2.1737920000000002E-5</v>
      </c>
      <c r="J23" s="5">
        <v>110000</v>
      </c>
      <c r="K23" s="5">
        <v>0.30113000000000001</v>
      </c>
      <c r="L23" s="5">
        <v>0</v>
      </c>
      <c r="P23" s="4">
        <v>11</v>
      </c>
      <c r="Q23" s="4">
        <v>8.9835918854415261E-10</v>
      </c>
      <c r="R23" s="6">
        <v>11</v>
      </c>
      <c r="S23" s="8">
        <v>5.60344570405728E-8</v>
      </c>
    </row>
    <row r="24" spans="3:19" x14ac:dyDescent="0.25">
      <c r="C24" s="5">
        <v>110000</v>
      </c>
      <c r="D24" s="5">
        <v>6.17995E-6</v>
      </c>
      <c r="E24" s="5">
        <v>1.2602800000000001E-5</v>
      </c>
      <c r="G24" s="5">
        <f t="shared" si="0"/>
        <v>11</v>
      </c>
      <c r="H24" s="5">
        <f t="shared" si="1"/>
        <v>1.8782750000000002E-5</v>
      </c>
      <c r="J24" s="5">
        <v>115500</v>
      </c>
      <c r="K24" s="5">
        <v>0</v>
      </c>
      <c r="L24" s="5">
        <v>0</v>
      </c>
      <c r="P24" s="4">
        <v>11.55</v>
      </c>
      <c r="Q24" s="4">
        <v>0</v>
      </c>
      <c r="R24" s="6">
        <v>11.55</v>
      </c>
      <c r="S24" s="8">
        <v>4.4549552505966576E-8</v>
      </c>
    </row>
    <row r="25" spans="3:19" x14ac:dyDescent="0.25">
      <c r="C25" s="5">
        <v>115500</v>
      </c>
      <c r="D25" s="5">
        <v>6.2431399999999998E-6</v>
      </c>
      <c r="E25" s="5">
        <v>8.6898699999999992E-6</v>
      </c>
      <c r="G25" s="5">
        <f t="shared" si="0"/>
        <v>11.55</v>
      </c>
      <c r="H25" s="5">
        <f t="shared" si="1"/>
        <v>1.4933009999999998E-5</v>
      </c>
      <c r="J25" s="5">
        <v>121000</v>
      </c>
      <c r="K25" s="5">
        <v>0</v>
      </c>
      <c r="L25" s="5">
        <v>0</v>
      </c>
      <c r="P25" s="4">
        <v>12.1</v>
      </c>
      <c r="Q25" s="4">
        <v>0</v>
      </c>
      <c r="R25" s="6">
        <v>12.1</v>
      </c>
      <c r="S25" s="8">
        <v>6.1591587112171843E-8</v>
      </c>
    </row>
    <row r="26" spans="3:19" x14ac:dyDescent="0.25">
      <c r="C26" s="5">
        <v>121000</v>
      </c>
      <c r="D26" s="5">
        <v>6.2311000000000004E-6</v>
      </c>
      <c r="E26" s="5">
        <v>1.44144E-5</v>
      </c>
      <c r="G26" s="5">
        <f t="shared" si="0"/>
        <v>12.1</v>
      </c>
      <c r="H26" s="5">
        <f t="shared" si="1"/>
        <v>2.0645500000000001E-5</v>
      </c>
      <c r="J26" s="5">
        <v>126500</v>
      </c>
      <c r="K26" s="5">
        <v>0.60226000000000002</v>
      </c>
      <c r="L26" s="5">
        <v>0</v>
      </c>
      <c r="P26" s="4">
        <v>12.65</v>
      </c>
      <c r="Q26" s="4">
        <v>1.7967183770883052E-9</v>
      </c>
      <c r="R26" s="6">
        <v>12.65</v>
      </c>
      <c r="S26" s="8">
        <v>5.5576312649164669E-8</v>
      </c>
    </row>
    <row r="27" spans="3:19" x14ac:dyDescent="0.25">
      <c r="C27" s="5">
        <v>126500</v>
      </c>
      <c r="D27" s="5">
        <v>6.3604799999999998E-6</v>
      </c>
      <c r="E27" s="5">
        <v>1.22687E-5</v>
      </c>
      <c r="G27" s="5">
        <f t="shared" si="0"/>
        <v>12.65</v>
      </c>
      <c r="H27" s="5">
        <f t="shared" si="1"/>
        <v>1.862918E-5</v>
      </c>
      <c r="J27" s="5">
        <v>132000</v>
      </c>
      <c r="K27" s="5">
        <v>0.30113000000000001</v>
      </c>
      <c r="L27" s="5">
        <v>0</v>
      </c>
      <c r="P27" s="4">
        <v>13.2</v>
      </c>
      <c r="Q27" s="4">
        <v>8.9835918854415261E-10</v>
      </c>
      <c r="R27" s="6">
        <v>13.2</v>
      </c>
      <c r="S27" s="8">
        <v>5.8150268496420038E-8</v>
      </c>
    </row>
    <row r="28" spans="3:19" x14ac:dyDescent="0.25">
      <c r="C28" s="5">
        <v>132000</v>
      </c>
      <c r="D28" s="5">
        <v>6.45977E-6</v>
      </c>
      <c r="E28" s="5">
        <v>1.30322E-5</v>
      </c>
      <c r="G28" s="5">
        <f t="shared" si="0"/>
        <v>13.2</v>
      </c>
      <c r="H28" s="5">
        <f t="shared" si="1"/>
        <v>1.949197E-5</v>
      </c>
      <c r="J28" s="5">
        <v>137500</v>
      </c>
      <c r="K28" s="5">
        <v>0.60226000000000002</v>
      </c>
      <c r="L28" s="5">
        <v>0</v>
      </c>
      <c r="P28" s="4">
        <v>13.75</v>
      </c>
      <c r="Q28" s="4">
        <v>1.7967183770883052E-9</v>
      </c>
      <c r="R28" s="6">
        <v>13.75</v>
      </c>
      <c r="S28" s="8">
        <v>6.868934964200478E-8</v>
      </c>
    </row>
    <row r="29" spans="3:19" x14ac:dyDescent="0.25">
      <c r="C29" s="5">
        <v>137500</v>
      </c>
      <c r="D29" s="5">
        <v>6.28827E-6</v>
      </c>
      <c r="E29" s="5">
        <v>1.6736400000000001E-5</v>
      </c>
      <c r="G29" s="5">
        <f t="shared" si="0"/>
        <v>13.75</v>
      </c>
      <c r="H29" s="5">
        <f t="shared" si="1"/>
        <v>2.3024670000000001E-5</v>
      </c>
      <c r="J29" s="5">
        <v>143000</v>
      </c>
      <c r="K29" s="5">
        <v>0.60226000000000002</v>
      </c>
      <c r="L29" s="5">
        <v>0</v>
      </c>
      <c r="P29" s="4">
        <v>14.3</v>
      </c>
      <c r="Q29" s="4">
        <v>1.7967183770883052E-9</v>
      </c>
      <c r="R29" s="6">
        <v>14.3</v>
      </c>
      <c r="S29" s="8">
        <v>6.1328281622911687E-8</v>
      </c>
    </row>
    <row r="30" spans="3:19" x14ac:dyDescent="0.25">
      <c r="C30" s="5">
        <v>143000</v>
      </c>
      <c r="D30" s="5">
        <v>6.55304E-6</v>
      </c>
      <c r="E30" s="5">
        <v>1.4004200000000001E-5</v>
      </c>
      <c r="G30" s="5">
        <f t="shared" si="0"/>
        <v>14.3</v>
      </c>
      <c r="H30" s="5">
        <f t="shared" si="1"/>
        <v>2.055724E-5</v>
      </c>
      <c r="J30" s="5">
        <v>148500</v>
      </c>
      <c r="K30" s="5">
        <v>0.60226000000000002</v>
      </c>
      <c r="L30" s="5">
        <v>0</v>
      </c>
      <c r="P30" s="4">
        <v>14.85</v>
      </c>
      <c r="Q30" s="4">
        <v>1.7967183770883052E-9</v>
      </c>
      <c r="R30" s="6">
        <v>14.85</v>
      </c>
      <c r="S30" s="8">
        <v>5.8223418854415268E-8</v>
      </c>
    </row>
    <row r="31" spans="3:19" x14ac:dyDescent="0.25">
      <c r="C31" s="5">
        <v>148500</v>
      </c>
      <c r="D31" s="5">
        <v>6.6763900000000003E-6</v>
      </c>
      <c r="E31" s="5">
        <v>1.2840099999999999E-5</v>
      </c>
      <c r="G31" s="5">
        <f t="shared" si="0"/>
        <v>14.85</v>
      </c>
      <c r="H31" s="5">
        <f t="shared" si="1"/>
        <v>1.9516490000000001E-5</v>
      </c>
      <c r="J31" s="5">
        <v>154000</v>
      </c>
      <c r="K31" s="5">
        <v>0.30113000000000001</v>
      </c>
      <c r="L31" s="5">
        <v>0</v>
      </c>
      <c r="P31" s="4">
        <v>15.4</v>
      </c>
      <c r="Q31" s="4">
        <v>8.9835918854415261E-10</v>
      </c>
      <c r="R31" s="6">
        <v>15.4</v>
      </c>
      <c r="S31" s="8">
        <v>5.6489767303102621E-8</v>
      </c>
    </row>
    <row r="32" spans="3:19" x14ac:dyDescent="0.25">
      <c r="C32" s="5">
        <v>154000</v>
      </c>
      <c r="D32" s="5">
        <v>6.9772699999999997E-6</v>
      </c>
      <c r="E32" s="5">
        <v>1.19581E-5</v>
      </c>
      <c r="G32" s="5">
        <f t="shared" si="0"/>
        <v>15.4</v>
      </c>
      <c r="H32" s="5">
        <f t="shared" si="1"/>
        <v>1.893537E-5</v>
      </c>
      <c r="J32" s="5">
        <v>159500</v>
      </c>
      <c r="K32" s="5">
        <v>0.30113000000000001</v>
      </c>
      <c r="L32" s="5">
        <v>0</v>
      </c>
      <c r="P32" s="4">
        <v>15.95</v>
      </c>
      <c r="Q32" s="4">
        <v>8.9835918854415261E-10</v>
      </c>
      <c r="R32" s="6">
        <v>15.95</v>
      </c>
      <c r="S32" s="8">
        <v>6.7204415274462968E-8</v>
      </c>
    </row>
    <row r="33" spans="3:19" x14ac:dyDescent="0.25">
      <c r="C33" s="5">
        <v>159500</v>
      </c>
      <c r="D33" s="5">
        <v>7.1668200000000003E-6</v>
      </c>
      <c r="E33" s="5">
        <v>1.5360099999999999E-5</v>
      </c>
      <c r="G33" s="5">
        <f t="shared" si="0"/>
        <v>15.95</v>
      </c>
      <c r="H33" s="5">
        <f t="shared" si="1"/>
        <v>2.2526919999999997E-5</v>
      </c>
      <c r="J33" s="5">
        <v>165000</v>
      </c>
      <c r="K33" s="5">
        <v>0.30113000000000001</v>
      </c>
      <c r="L33" s="5">
        <v>0</v>
      </c>
      <c r="P33" s="4">
        <v>16.5</v>
      </c>
      <c r="Q33" s="4">
        <v>8.9835918854415261E-10</v>
      </c>
      <c r="R33" s="6">
        <v>16.5</v>
      </c>
      <c r="S33" s="8">
        <v>6.6299970167064426E-8</v>
      </c>
    </row>
    <row r="34" spans="3:19" x14ac:dyDescent="0.25">
      <c r="C34" s="5">
        <v>165000</v>
      </c>
      <c r="D34" s="5">
        <v>7.1788499999999999E-6</v>
      </c>
      <c r="E34" s="5">
        <v>1.5044900000000001E-5</v>
      </c>
      <c r="G34" s="5">
        <f t="shared" si="0"/>
        <v>16.5</v>
      </c>
      <c r="H34" s="5">
        <f t="shared" si="1"/>
        <v>2.2223749999999999E-5</v>
      </c>
      <c r="J34" s="5">
        <v>170500</v>
      </c>
      <c r="K34" s="5">
        <v>1.5056</v>
      </c>
      <c r="L34" s="5">
        <v>0</v>
      </c>
      <c r="P34" s="4">
        <v>17.05</v>
      </c>
      <c r="Q34" s="4">
        <v>4.4916467780429593E-9</v>
      </c>
      <c r="R34" s="6">
        <v>17.05</v>
      </c>
      <c r="S34" s="8">
        <v>6.756097852028638E-8</v>
      </c>
    </row>
    <row r="35" spans="3:19" x14ac:dyDescent="0.25">
      <c r="C35" s="5">
        <v>170500</v>
      </c>
      <c r="D35" s="5">
        <v>7.20894E-6</v>
      </c>
      <c r="E35" s="5">
        <v>1.5437499999999999E-5</v>
      </c>
      <c r="G35" s="5">
        <f t="shared" si="0"/>
        <v>17.05</v>
      </c>
      <c r="H35" s="5">
        <f t="shared" si="1"/>
        <v>2.264644E-5</v>
      </c>
      <c r="J35" s="5">
        <v>176000</v>
      </c>
      <c r="K35" s="5">
        <v>0.90337999999999996</v>
      </c>
      <c r="L35" s="5">
        <v>0</v>
      </c>
      <c r="P35" s="4">
        <v>17.600000000000001</v>
      </c>
      <c r="Q35" s="4">
        <v>2.6950477326968968E-9</v>
      </c>
      <c r="R35" s="6">
        <v>17.600000000000001</v>
      </c>
      <c r="S35" s="8">
        <v>5.7204594272076364E-8</v>
      </c>
    </row>
    <row r="36" spans="3:19" x14ac:dyDescent="0.25">
      <c r="C36" s="5">
        <v>176000</v>
      </c>
      <c r="D36" s="5">
        <v>7.4285799999999998E-6</v>
      </c>
      <c r="E36" s="5">
        <v>1.17464E-5</v>
      </c>
      <c r="G36" s="5">
        <f t="shared" si="0"/>
        <v>17.600000000000001</v>
      </c>
      <c r="H36" s="5">
        <f t="shared" si="1"/>
        <v>1.9174980000000001E-5</v>
      </c>
      <c r="J36" s="5">
        <v>181500</v>
      </c>
      <c r="K36" s="5">
        <v>0.60226000000000002</v>
      </c>
      <c r="L36" s="5">
        <v>0</v>
      </c>
      <c r="P36" s="4">
        <v>18.149999999999999</v>
      </c>
      <c r="Q36" s="4">
        <v>1.7967183770883052E-9</v>
      </c>
      <c r="R36" s="6">
        <v>18.149999999999999</v>
      </c>
      <c r="S36" s="8">
        <v>7.3860650357995236E-8</v>
      </c>
    </row>
    <row r="37" spans="3:19" x14ac:dyDescent="0.25">
      <c r="C37" s="5">
        <v>181500</v>
      </c>
      <c r="D37" s="5">
        <v>7.5007900000000004E-6</v>
      </c>
      <c r="E37" s="5">
        <v>1.7257300000000002E-5</v>
      </c>
      <c r="G37" s="5">
        <f t="shared" si="0"/>
        <v>18.149999999999999</v>
      </c>
      <c r="H37" s="5">
        <f t="shared" si="1"/>
        <v>2.4758090000000002E-5</v>
      </c>
      <c r="J37" s="5">
        <v>187000</v>
      </c>
      <c r="K37" s="5">
        <v>0.90337999999999996</v>
      </c>
      <c r="L37" s="5">
        <v>0</v>
      </c>
      <c r="P37" s="4">
        <v>18.7</v>
      </c>
      <c r="Q37" s="4">
        <v>2.6950477326968968E-9</v>
      </c>
      <c r="R37" s="6">
        <v>18.7</v>
      </c>
      <c r="S37" s="8">
        <v>6.3087082338902125E-8</v>
      </c>
    </row>
    <row r="38" spans="3:19" x14ac:dyDescent="0.25">
      <c r="C38" s="5">
        <v>187000</v>
      </c>
      <c r="D38" s="5">
        <v>7.7414899999999996E-6</v>
      </c>
      <c r="E38" s="5">
        <v>1.34053E-5</v>
      </c>
      <c r="G38" s="5">
        <f t="shared" si="0"/>
        <v>18.7</v>
      </c>
      <c r="H38" s="5">
        <f t="shared" si="1"/>
        <v>2.1146789999999998E-5</v>
      </c>
      <c r="J38" s="5">
        <v>192500</v>
      </c>
      <c r="K38" s="5">
        <v>1.5056</v>
      </c>
      <c r="L38" s="5">
        <v>0</v>
      </c>
      <c r="P38" s="4">
        <v>19.25</v>
      </c>
      <c r="Q38" s="4">
        <v>4.4916467780429593E-9</v>
      </c>
      <c r="R38" s="6">
        <v>19.25</v>
      </c>
      <c r="S38" s="8">
        <v>8.7067064439140819E-8</v>
      </c>
    </row>
    <row r="39" spans="3:19" x14ac:dyDescent="0.25">
      <c r="C39" s="5">
        <v>192500</v>
      </c>
      <c r="D39" s="5">
        <v>8.0122799999999998E-6</v>
      </c>
      <c r="E39" s="5">
        <v>2.1172600000000001E-5</v>
      </c>
      <c r="G39" s="5">
        <f t="shared" si="0"/>
        <v>19.25</v>
      </c>
      <c r="H39" s="5">
        <f t="shared" si="1"/>
        <v>2.9184880000000001E-5</v>
      </c>
      <c r="J39" s="5">
        <v>198000</v>
      </c>
      <c r="K39" s="5">
        <v>1.5056</v>
      </c>
      <c r="L39" s="5">
        <v>0</v>
      </c>
      <c r="P39" s="4">
        <v>19.8</v>
      </c>
      <c r="Q39" s="4">
        <v>4.4916467780429593E-9</v>
      </c>
      <c r="R39" s="6">
        <v>19.8</v>
      </c>
      <c r="S39" s="8">
        <v>8.255638424821E-8</v>
      </c>
    </row>
    <row r="40" spans="3:19" x14ac:dyDescent="0.25">
      <c r="C40" s="5">
        <v>198000</v>
      </c>
      <c r="D40" s="5">
        <v>7.9520999999999996E-6</v>
      </c>
      <c r="E40" s="5">
        <v>1.9720799999999999E-5</v>
      </c>
      <c r="G40" s="5">
        <f t="shared" si="0"/>
        <v>19.8</v>
      </c>
      <c r="H40" s="5">
        <f t="shared" si="1"/>
        <v>2.7672899999999997E-5</v>
      </c>
      <c r="J40" s="5">
        <v>203500</v>
      </c>
      <c r="K40" s="5">
        <v>1.2044999999999999</v>
      </c>
      <c r="L40" s="5">
        <v>0</v>
      </c>
      <c r="P40" s="4">
        <v>20.350000000000001</v>
      </c>
      <c r="Q40" s="4">
        <v>3.593377088305489E-9</v>
      </c>
      <c r="R40" s="6">
        <v>20.350000000000001</v>
      </c>
      <c r="S40" s="8">
        <v>6.7535680190930776E-8</v>
      </c>
    </row>
    <row r="41" spans="3:19" x14ac:dyDescent="0.25">
      <c r="C41" s="5">
        <v>203500</v>
      </c>
      <c r="D41" s="5">
        <v>8.1446600000000007E-6</v>
      </c>
      <c r="E41" s="5">
        <v>1.4493300000000001E-5</v>
      </c>
      <c r="G41" s="5">
        <f t="shared" si="0"/>
        <v>20.350000000000001</v>
      </c>
      <c r="H41" s="5">
        <f t="shared" si="1"/>
        <v>2.263796E-5</v>
      </c>
      <c r="J41" s="5">
        <v>209000</v>
      </c>
      <c r="K41" s="5">
        <v>2.7101999999999999</v>
      </c>
      <c r="L41" s="5">
        <v>0</v>
      </c>
      <c r="P41" s="4">
        <v>20.9</v>
      </c>
      <c r="Q41" s="4">
        <v>8.0853221957040551E-9</v>
      </c>
      <c r="R41" s="6">
        <v>20.9</v>
      </c>
      <c r="S41" s="8">
        <v>7.7361903341288785E-8</v>
      </c>
    </row>
    <row r="42" spans="3:19" x14ac:dyDescent="0.25">
      <c r="C42" s="5">
        <v>209000</v>
      </c>
      <c r="D42" s="5">
        <v>8.4034100000000006E-6</v>
      </c>
      <c r="E42" s="5">
        <v>1.75283E-5</v>
      </c>
      <c r="G42" s="5">
        <f t="shared" si="0"/>
        <v>20.9</v>
      </c>
      <c r="H42" s="5">
        <f t="shared" si="1"/>
        <v>2.5931710000000002E-5</v>
      </c>
      <c r="J42" s="5">
        <v>214500</v>
      </c>
      <c r="K42" s="5">
        <v>1.5056</v>
      </c>
      <c r="L42" s="5">
        <v>0</v>
      </c>
      <c r="P42" s="4">
        <v>21.45</v>
      </c>
      <c r="Q42" s="4">
        <v>4.4916467780429593E-9</v>
      </c>
      <c r="R42" s="6">
        <v>21.45</v>
      </c>
      <c r="S42" s="8">
        <v>6.7381443914081156E-8</v>
      </c>
    </row>
    <row r="43" spans="3:19" x14ac:dyDescent="0.25">
      <c r="C43" s="5">
        <v>214500</v>
      </c>
      <c r="D43" s="5">
        <v>8.5237600000000002E-6</v>
      </c>
      <c r="E43" s="5">
        <v>1.40625E-5</v>
      </c>
      <c r="G43" s="5">
        <f t="shared" si="0"/>
        <v>21.45</v>
      </c>
      <c r="H43" s="5">
        <f t="shared" si="1"/>
        <v>2.2586260000000002E-5</v>
      </c>
      <c r="J43" s="5">
        <v>220000</v>
      </c>
      <c r="K43" s="5">
        <v>2.1078999999999999</v>
      </c>
      <c r="L43" s="5">
        <v>0</v>
      </c>
      <c r="P43" s="4">
        <v>22</v>
      </c>
      <c r="Q43" s="4">
        <v>6.2884844868735076E-9</v>
      </c>
      <c r="R43" s="6">
        <v>22</v>
      </c>
      <c r="S43" s="8">
        <v>8.2689319809069195E-8</v>
      </c>
    </row>
    <row r="44" spans="3:19" x14ac:dyDescent="0.25">
      <c r="C44" s="5">
        <v>220000</v>
      </c>
      <c r="D44" s="5">
        <v>8.8336600000000004E-6</v>
      </c>
      <c r="E44" s="5">
        <v>1.88838E-5</v>
      </c>
      <c r="G44" s="5">
        <f t="shared" si="0"/>
        <v>22</v>
      </c>
      <c r="H44" s="5">
        <f t="shared" si="1"/>
        <v>2.7717460000000001E-5</v>
      </c>
      <c r="J44" s="5">
        <v>225500</v>
      </c>
      <c r="K44" s="5">
        <v>1.5056</v>
      </c>
      <c r="L44" s="5">
        <v>0</v>
      </c>
      <c r="P44" s="4">
        <v>22.55</v>
      </c>
      <c r="Q44" s="4">
        <v>4.4916467780429593E-9</v>
      </c>
      <c r="R44" s="6">
        <v>22.55</v>
      </c>
      <c r="S44" s="8">
        <v>8.7272374701670628E-8</v>
      </c>
    </row>
    <row r="45" spans="3:19" x14ac:dyDescent="0.25">
      <c r="C45" s="5">
        <v>225500</v>
      </c>
      <c r="D45" s="5">
        <v>9.3270999999999992E-6</v>
      </c>
      <c r="E45" s="5">
        <v>1.99266E-5</v>
      </c>
      <c r="G45" s="5">
        <f t="shared" si="0"/>
        <v>22.55</v>
      </c>
      <c r="H45" s="5">
        <f t="shared" si="1"/>
        <v>2.9253700000000001E-5</v>
      </c>
      <c r="J45" s="5">
        <v>231000</v>
      </c>
      <c r="K45" s="5">
        <v>2.7101999999999999</v>
      </c>
      <c r="L45" s="5">
        <v>0</v>
      </c>
      <c r="P45" s="4">
        <v>23.1</v>
      </c>
      <c r="Q45" s="4">
        <v>8.0853221957040551E-9</v>
      </c>
      <c r="R45" s="6">
        <v>23.1</v>
      </c>
      <c r="S45" s="8">
        <v>6.9327774463007146E-8</v>
      </c>
    </row>
    <row r="46" spans="3:19" x14ac:dyDescent="0.25">
      <c r="C46" s="5">
        <v>231000</v>
      </c>
      <c r="D46" s="5">
        <v>9.3511700000000008E-6</v>
      </c>
      <c r="E46" s="5">
        <v>1.38875E-5</v>
      </c>
      <c r="G46" s="5">
        <f t="shared" si="0"/>
        <v>23.1</v>
      </c>
      <c r="H46" s="5">
        <f t="shared" si="1"/>
        <v>2.3238670000000003E-5</v>
      </c>
      <c r="J46" s="5">
        <v>236500</v>
      </c>
      <c r="K46" s="5">
        <v>5.1192000000000002</v>
      </c>
      <c r="L46" s="5">
        <v>0</v>
      </c>
      <c r="P46" s="4">
        <v>23.65</v>
      </c>
      <c r="Q46" s="4">
        <v>1.5272076372315036E-8</v>
      </c>
      <c r="R46" s="6">
        <v>23.65</v>
      </c>
      <c r="S46" s="8">
        <v>8.854621121718375E-8</v>
      </c>
    </row>
    <row r="47" spans="3:19" x14ac:dyDescent="0.25">
      <c r="C47" s="5">
        <v>236500</v>
      </c>
      <c r="D47" s="5">
        <v>9.8746899999999998E-6</v>
      </c>
      <c r="E47" s="5">
        <v>1.9806E-5</v>
      </c>
      <c r="G47" s="5">
        <f t="shared" si="0"/>
        <v>23.65</v>
      </c>
      <c r="H47" s="5">
        <f t="shared" si="1"/>
        <v>2.9680690000000001E-5</v>
      </c>
      <c r="J47" s="5">
        <v>242000</v>
      </c>
      <c r="K47" s="5">
        <v>5.1192000000000002</v>
      </c>
      <c r="L47" s="5">
        <v>0</v>
      </c>
      <c r="P47" s="4">
        <v>24.2</v>
      </c>
      <c r="Q47" s="4">
        <v>1.5272076372315036E-8</v>
      </c>
      <c r="R47" s="6">
        <v>24.2</v>
      </c>
      <c r="S47" s="8">
        <v>9.234039379474939E-8</v>
      </c>
    </row>
    <row r="48" spans="3:19" x14ac:dyDescent="0.25">
      <c r="C48" s="5">
        <v>242000</v>
      </c>
      <c r="D48" s="5">
        <v>1.00793E-5</v>
      </c>
      <c r="E48" s="5">
        <v>2.0873199999999999E-5</v>
      </c>
      <c r="G48" s="5">
        <f t="shared" si="0"/>
        <v>24.2</v>
      </c>
      <c r="H48" s="5">
        <f t="shared" si="1"/>
        <v>3.0952499999999999E-5</v>
      </c>
      <c r="J48" s="5">
        <v>247500</v>
      </c>
      <c r="K48" s="5">
        <v>6.6247999999999996</v>
      </c>
      <c r="L48" s="5">
        <v>0</v>
      </c>
      <c r="P48" s="4">
        <v>24.75</v>
      </c>
      <c r="Q48" s="4">
        <v>1.9763723150357988E-8</v>
      </c>
      <c r="R48" s="6">
        <v>24.75</v>
      </c>
      <c r="S48" s="8">
        <v>9.5487171837708833E-8</v>
      </c>
    </row>
    <row r="49" spans="3:19" x14ac:dyDescent="0.25">
      <c r="C49" s="5">
        <v>247500</v>
      </c>
      <c r="D49" s="5">
        <v>1.09277E-5</v>
      </c>
      <c r="E49" s="5">
        <v>2.1079600000000001E-5</v>
      </c>
      <c r="G49" s="5">
        <f t="shared" si="0"/>
        <v>24.75</v>
      </c>
      <c r="H49" s="5">
        <f t="shared" si="1"/>
        <v>3.2007300000000001E-5</v>
      </c>
      <c r="J49" s="5">
        <v>253000</v>
      </c>
      <c r="K49" s="5">
        <v>4.2157999999999998</v>
      </c>
      <c r="L49" s="5">
        <v>0</v>
      </c>
      <c r="P49" s="4">
        <v>25.3</v>
      </c>
      <c r="Q49" s="4">
        <v>1.2576968973747015E-8</v>
      </c>
      <c r="R49" s="6">
        <v>25.3</v>
      </c>
      <c r="S49" s="8">
        <v>1.010459427207637E-7</v>
      </c>
    </row>
    <row r="50" spans="3:19" x14ac:dyDescent="0.25">
      <c r="C50" s="5">
        <v>253000</v>
      </c>
      <c r="D50" s="5">
        <v>1.1950700000000001E-5</v>
      </c>
      <c r="E50" s="5">
        <v>2.19199E-5</v>
      </c>
      <c r="G50" s="5">
        <f t="shared" si="0"/>
        <v>25.3</v>
      </c>
      <c r="H50" s="5">
        <f t="shared" si="1"/>
        <v>3.3870600000000001E-5</v>
      </c>
      <c r="J50" s="5">
        <v>258500</v>
      </c>
      <c r="K50" s="5">
        <v>3.6135000000000002</v>
      </c>
      <c r="L50" s="5">
        <v>0</v>
      </c>
      <c r="P50" s="4">
        <v>25.85</v>
      </c>
      <c r="Q50" s="4">
        <v>1.0780131264916469E-8</v>
      </c>
      <c r="R50" s="6">
        <v>25.85</v>
      </c>
      <c r="S50" s="8">
        <v>1.1785739856801907E-7</v>
      </c>
    </row>
    <row r="51" spans="3:19" x14ac:dyDescent="0.25">
      <c r="C51" s="5">
        <v>258500</v>
      </c>
      <c r="D51" s="5">
        <v>1.3542300000000001E-5</v>
      </c>
      <c r="E51" s="5">
        <v>2.59635E-5</v>
      </c>
      <c r="G51" s="5">
        <f t="shared" si="0"/>
        <v>25.85</v>
      </c>
      <c r="H51" s="5">
        <f t="shared" si="1"/>
        <v>3.9505799999999997E-5</v>
      </c>
      <c r="J51" s="5">
        <v>264000</v>
      </c>
      <c r="K51" s="5">
        <v>4.8181000000000003</v>
      </c>
      <c r="L51" s="5">
        <v>0</v>
      </c>
      <c r="P51" s="4">
        <v>26.4</v>
      </c>
      <c r="Q51" s="4">
        <v>1.4373806682577566E-8</v>
      </c>
      <c r="R51" s="6">
        <v>26.4</v>
      </c>
      <c r="S51" s="8">
        <v>1.6878818615751788E-7</v>
      </c>
    </row>
    <row r="52" spans="3:19" x14ac:dyDescent="0.25">
      <c r="C52" s="5">
        <v>264000</v>
      </c>
      <c r="D52" s="5">
        <v>1.8383400000000001E-5</v>
      </c>
      <c r="E52" s="5">
        <v>3.8194400000000001E-5</v>
      </c>
      <c r="G52" s="5">
        <f t="shared" si="0"/>
        <v>26.4</v>
      </c>
      <c r="H52" s="5">
        <f t="shared" si="1"/>
        <v>5.6577799999999999E-5</v>
      </c>
      <c r="J52" s="5">
        <v>269500</v>
      </c>
      <c r="K52" s="5">
        <v>6.6247999999999996</v>
      </c>
      <c r="L52" s="5">
        <v>0</v>
      </c>
      <c r="P52" s="4">
        <v>26.95</v>
      </c>
      <c r="Q52" s="4">
        <v>1.9763723150357988E-8</v>
      </c>
      <c r="R52" s="6">
        <v>26.95</v>
      </c>
      <c r="S52" s="8">
        <v>1.6047583532219566E-7</v>
      </c>
    </row>
    <row r="53" spans="3:19" x14ac:dyDescent="0.25">
      <c r="C53" s="5">
        <v>269500</v>
      </c>
      <c r="D53" s="5">
        <v>1.8946000000000001E-5</v>
      </c>
      <c r="E53" s="5">
        <v>3.4845499999999997E-5</v>
      </c>
      <c r="G53" s="5">
        <f t="shared" si="0"/>
        <v>26.95</v>
      </c>
      <c r="H53" s="5">
        <f t="shared" si="1"/>
        <v>5.3791499999999995E-5</v>
      </c>
      <c r="J53" s="5">
        <v>275000</v>
      </c>
      <c r="K53" s="5">
        <v>4.5168999999999997</v>
      </c>
      <c r="L53" s="5">
        <v>0</v>
      </c>
      <c r="P53" s="4">
        <v>27.5</v>
      </c>
      <c r="Q53" s="4">
        <v>1.3475238663484482E-8</v>
      </c>
      <c r="R53" s="6">
        <v>27.5</v>
      </c>
      <c r="S53" s="8">
        <v>1.8377714797136033E-7</v>
      </c>
    </row>
    <row r="54" spans="3:19" x14ac:dyDescent="0.25">
      <c r="C54" s="5">
        <v>275000</v>
      </c>
      <c r="D54" s="5">
        <v>1.9126600000000001E-5</v>
      </c>
      <c r="E54" s="5">
        <v>4.2475499999999997E-5</v>
      </c>
      <c r="G54" s="5">
        <f t="shared" si="0"/>
        <v>27.5</v>
      </c>
      <c r="H54" s="5">
        <f t="shared" si="1"/>
        <v>6.1602099999999991E-5</v>
      </c>
      <c r="J54" s="5">
        <v>280500</v>
      </c>
      <c r="K54" s="5">
        <v>9.0337999999999994</v>
      </c>
      <c r="L54" s="5">
        <v>0</v>
      </c>
      <c r="P54" s="4">
        <v>28.05</v>
      </c>
      <c r="Q54" s="4">
        <v>2.6950477326968965E-8</v>
      </c>
      <c r="R54" s="6">
        <v>28.05</v>
      </c>
      <c r="S54" s="8">
        <v>1.7297553699284007E-7</v>
      </c>
    </row>
    <row r="55" spans="3:19" x14ac:dyDescent="0.25">
      <c r="C55" s="5">
        <v>280500</v>
      </c>
      <c r="D55" s="5">
        <v>1.9460500000000001E-5</v>
      </c>
      <c r="E55" s="5">
        <v>3.8520899999999999E-5</v>
      </c>
      <c r="G55" s="5">
        <f t="shared" si="0"/>
        <v>28.05</v>
      </c>
      <c r="H55" s="5">
        <f t="shared" si="1"/>
        <v>5.79814E-5</v>
      </c>
      <c r="J55" s="5">
        <v>286000</v>
      </c>
      <c r="K55" s="5">
        <v>6.6247999999999996</v>
      </c>
      <c r="L55" s="5">
        <v>0</v>
      </c>
      <c r="P55" s="4">
        <v>28.6</v>
      </c>
      <c r="Q55" s="4">
        <v>1.9763723150357988E-8</v>
      </c>
      <c r="R55" s="6">
        <v>28.6</v>
      </c>
      <c r="S55" s="8">
        <v>1.98258353221957E-7</v>
      </c>
    </row>
    <row r="56" spans="3:19" x14ac:dyDescent="0.25">
      <c r="C56" s="5">
        <v>286000</v>
      </c>
      <c r="D56" s="5">
        <v>2.12507E-5</v>
      </c>
      <c r="E56" s="5">
        <v>4.5205499999999999E-5</v>
      </c>
      <c r="G56" s="5">
        <f t="shared" si="0"/>
        <v>28.6</v>
      </c>
      <c r="H56" s="5">
        <f t="shared" si="1"/>
        <v>6.6456200000000002E-5</v>
      </c>
      <c r="J56" s="5">
        <v>291500</v>
      </c>
      <c r="K56" s="5">
        <v>9.9372000000000007</v>
      </c>
      <c r="L56" s="5">
        <v>0</v>
      </c>
      <c r="P56" s="4">
        <v>29.15</v>
      </c>
      <c r="Q56" s="4">
        <v>2.9645584725536989E-8</v>
      </c>
      <c r="R56" s="6">
        <v>29.15</v>
      </c>
      <c r="S56" s="8">
        <v>1.9454295942720761E-7</v>
      </c>
    </row>
    <row r="57" spans="3:19" x14ac:dyDescent="0.25">
      <c r="C57" s="5">
        <v>291500</v>
      </c>
      <c r="D57" s="5">
        <v>2.1662899999999999E-5</v>
      </c>
      <c r="E57" s="5">
        <v>4.3547899999999997E-5</v>
      </c>
      <c r="G57" s="5">
        <f t="shared" si="0"/>
        <v>29.15</v>
      </c>
      <c r="H57" s="5">
        <f t="shared" si="1"/>
        <v>6.5210799999999996E-5</v>
      </c>
      <c r="J57" s="5">
        <v>297000</v>
      </c>
      <c r="K57" s="5">
        <v>8.7326999999999995</v>
      </c>
      <c r="L57" s="5">
        <v>0</v>
      </c>
      <c r="P57" s="4">
        <v>29.7</v>
      </c>
      <c r="Q57" s="4">
        <v>2.6052207637231499E-8</v>
      </c>
      <c r="R57" s="6">
        <v>29.7</v>
      </c>
      <c r="S57" s="8">
        <v>2.0855906921241047E-7</v>
      </c>
    </row>
    <row r="58" spans="3:19" x14ac:dyDescent="0.25">
      <c r="C58" s="5">
        <v>297000</v>
      </c>
      <c r="D58" s="5">
        <v>2.2487300000000001E-5</v>
      </c>
      <c r="E58" s="5">
        <v>4.74217E-5</v>
      </c>
      <c r="G58" s="5">
        <f t="shared" si="0"/>
        <v>29.7</v>
      </c>
      <c r="H58" s="5">
        <f t="shared" si="1"/>
        <v>6.9908999999999998E-5</v>
      </c>
      <c r="J58" s="5">
        <v>302500</v>
      </c>
      <c r="K58" s="5">
        <v>10.840999999999999</v>
      </c>
      <c r="L58" s="5">
        <v>0</v>
      </c>
      <c r="P58" s="4">
        <v>30.25</v>
      </c>
      <c r="Q58" s="4">
        <v>3.2341885441527437E-8</v>
      </c>
      <c r="R58" s="6">
        <v>30.25</v>
      </c>
      <c r="S58" s="8">
        <v>1.9856294749403342E-7</v>
      </c>
    </row>
    <row r="59" spans="3:19" x14ac:dyDescent="0.25">
      <c r="C59" s="5">
        <v>302500</v>
      </c>
      <c r="D59" s="5">
        <v>2.3137199999999999E-5</v>
      </c>
      <c r="E59" s="5">
        <v>4.3421099999999997E-5</v>
      </c>
      <c r="G59" s="5">
        <f t="shared" si="0"/>
        <v>30.25</v>
      </c>
      <c r="H59" s="5">
        <f t="shared" si="1"/>
        <v>6.6558300000000003E-5</v>
      </c>
      <c r="J59" s="5">
        <v>308000</v>
      </c>
      <c r="K59" s="5">
        <v>13.551</v>
      </c>
      <c r="L59" s="5">
        <v>0</v>
      </c>
      <c r="P59" s="4">
        <v>30.8</v>
      </c>
      <c r="Q59" s="4">
        <v>4.0426610978520284E-8</v>
      </c>
      <c r="R59" s="6">
        <v>30.8</v>
      </c>
      <c r="S59" s="8">
        <v>2.1328072792362763E-7</v>
      </c>
    </row>
    <row r="60" spans="3:19" x14ac:dyDescent="0.25">
      <c r="C60" s="5">
        <v>308000</v>
      </c>
      <c r="D60" s="5">
        <v>2.4403899999999999E-5</v>
      </c>
      <c r="E60" s="5">
        <v>4.70878E-5</v>
      </c>
      <c r="G60" s="5">
        <f t="shared" si="0"/>
        <v>30.8</v>
      </c>
      <c r="H60" s="5">
        <f t="shared" si="1"/>
        <v>7.1491699999999992E-5</v>
      </c>
      <c r="J60" s="5">
        <v>313500</v>
      </c>
      <c r="K60" s="5">
        <v>18.670000000000002</v>
      </c>
      <c r="L60" s="5">
        <v>0</v>
      </c>
      <c r="P60" s="4">
        <v>31.35</v>
      </c>
      <c r="Q60" s="4">
        <v>5.5698090692124097E-8</v>
      </c>
      <c r="R60" s="6">
        <v>31.35</v>
      </c>
      <c r="S60" s="8">
        <v>2.1144898568019094E-7</v>
      </c>
    </row>
    <row r="61" spans="3:19" x14ac:dyDescent="0.25">
      <c r="C61" s="5">
        <v>313500</v>
      </c>
      <c r="D61" s="5">
        <v>2.5092900000000002E-5</v>
      </c>
      <c r="E61" s="5">
        <v>4.5784800000000003E-5</v>
      </c>
      <c r="G61" s="5">
        <f t="shared" si="0"/>
        <v>31.35</v>
      </c>
      <c r="H61" s="5">
        <f t="shared" si="1"/>
        <v>7.0877700000000001E-5</v>
      </c>
      <c r="J61" s="5">
        <v>319000</v>
      </c>
      <c r="K61" s="5">
        <v>19.271999999999998</v>
      </c>
      <c r="L61" s="5">
        <v>0</v>
      </c>
      <c r="P61" s="4">
        <v>31.9</v>
      </c>
      <c r="Q61" s="4">
        <v>5.7494033412887824E-8</v>
      </c>
      <c r="R61" s="6">
        <v>31.9</v>
      </c>
      <c r="S61" s="8">
        <v>2.1622881861575176E-7</v>
      </c>
    </row>
    <row r="62" spans="3:19" x14ac:dyDescent="0.25">
      <c r="C62" s="5">
        <v>319000</v>
      </c>
      <c r="D62" s="5">
        <v>2.63084E-5</v>
      </c>
      <c r="E62" s="5">
        <v>4.6171499999999997E-5</v>
      </c>
      <c r="G62" s="5">
        <f t="shared" si="0"/>
        <v>31.9</v>
      </c>
      <c r="H62" s="5">
        <f t="shared" si="1"/>
        <v>7.2479900000000004E-5</v>
      </c>
      <c r="J62" s="5">
        <v>324500</v>
      </c>
      <c r="K62" s="5">
        <v>21.38</v>
      </c>
      <c r="L62" s="5">
        <v>0</v>
      </c>
      <c r="P62" s="4">
        <v>32.450000000000003</v>
      </c>
      <c r="Q62" s="4">
        <v>6.3782816229116923E-8</v>
      </c>
      <c r="R62" s="6">
        <v>32.450000000000003</v>
      </c>
      <c r="S62" s="8">
        <v>2.2683293556085917E-7</v>
      </c>
    </row>
    <row r="63" spans="3:19" x14ac:dyDescent="0.25">
      <c r="C63" s="5">
        <v>324500</v>
      </c>
      <c r="D63" s="5">
        <v>2.75691E-5</v>
      </c>
      <c r="E63" s="5">
        <v>4.8465299999999998E-5</v>
      </c>
      <c r="G63" s="5">
        <f t="shared" si="0"/>
        <v>32.450000000000003</v>
      </c>
      <c r="H63" s="5">
        <f t="shared" si="1"/>
        <v>7.6034399999999998E-5</v>
      </c>
      <c r="J63" s="5">
        <v>330000</v>
      </c>
      <c r="K63" s="5">
        <v>21.38</v>
      </c>
      <c r="L63" s="5">
        <v>0</v>
      </c>
      <c r="P63" s="4">
        <v>33</v>
      </c>
      <c r="Q63" s="4">
        <v>6.3782816229116923E-8</v>
      </c>
      <c r="R63" s="6">
        <v>33</v>
      </c>
      <c r="S63" s="8">
        <v>2.5609665871121717E-7</v>
      </c>
    </row>
    <row r="64" spans="3:19" x14ac:dyDescent="0.25">
      <c r="C64" s="5">
        <v>330000</v>
      </c>
      <c r="D64" s="5">
        <v>2.9693299999999999E-5</v>
      </c>
      <c r="E64" s="5">
        <v>5.6150299999999997E-5</v>
      </c>
      <c r="G64" s="5">
        <f t="shared" si="0"/>
        <v>33</v>
      </c>
      <c r="H64" s="5">
        <f t="shared" si="1"/>
        <v>8.5843599999999999E-5</v>
      </c>
      <c r="J64" s="5">
        <v>335500</v>
      </c>
      <c r="K64" s="5">
        <v>32.823</v>
      </c>
      <c r="L64" s="5">
        <v>0</v>
      </c>
      <c r="P64" s="4">
        <v>33.549999999999997</v>
      </c>
      <c r="Q64" s="4">
        <v>9.7920644391408101E-8</v>
      </c>
      <c r="R64" s="6">
        <v>33.549999999999997</v>
      </c>
      <c r="S64" s="8">
        <v>2.551172434367542E-7</v>
      </c>
    </row>
    <row r="65" spans="3:19" x14ac:dyDescent="0.25">
      <c r="C65" s="5">
        <v>335500</v>
      </c>
      <c r="D65" s="5">
        <v>3.1062200000000002E-5</v>
      </c>
      <c r="E65" s="5">
        <v>5.4453100000000002E-5</v>
      </c>
      <c r="G65" s="5">
        <f t="shared" si="0"/>
        <v>33.549999999999997</v>
      </c>
      <c r="H65" s="5">
        <f t="shared" si="1"/>
        <v>8.5515300000000004E-5</v>
      </c>
      <c r="J65" s="5">
        <v>341000</v>
      </c>
      <c r="K65" s="5">
        <v>37.640999999999998</v>
      </c>
      <c r="L65" s="5">
        <v>0</v>
      </c>
      <c r="P65" s="4">
        <v>34.1</v>
      </c>
      <c r="Q65" s="4">
        <v>1.1229415274463003E-7</v>
      </c>
      <c r="R65" s="6">
        <v>34.1</v>
      </c>
      <c r="S65" s="8">
        <v>2.7257398568019087E-7</v>
      </c>
    </row>
    <row r="66" spans="3:19" x14ac:dyDescent="0.25">
      <c r="C66" s="5">
        <v>341000</v>
      </c>
      <c r="D66" s="5">
        <v>3.3237600000000002E-5</v>
      </c>
      <c r="E66" s="5">
        <v>5.8129199999999999E-5</v>
      </c>
      <c r="G66" s="5">
        <f t="shared" si="0"/>
        <v>34.1</v>
      </c>
      <c r="H66" s="5">
        <f t="shared" si="1"/>
        <v>9.1366800000000008E-5</v>
      </c>
      <c r="J66" s="5">
        <v>346500</v>
      </c>
      <c r="K66" s="5">
        <v>46.674999999999997</v>
      </c>
      <c r="L66" s="5">
        <v>0</v>
      </c>
      <c r="P66" s="4">
        <v>34.65</v>
      </c>
      <c r="Q66" s="4">
        <v>1.3924522673031022E-7</v>
      </c>
      <c r="R66" s="6">
        <v>34.65</v>
      </c>
      <c r="S66" s="8">
        <v>2.8511127684964203E-7</v>
      </c>
    </row>
    <row r="67" spans="3:19" x14ac:dyDescent="0.25">
      <c r="C67" s="5">
        <v>346500</v>
      </c>
      <c r="D67" s="5">
        <v>3.6068800000000003E-5</v>
      </c>
      <c r="E67" s="5">
        <v>5.9500499999999997E-5</v>
      </c>
      <c r="G67" s="5">
        <f t="shared" si="0"/>
        <v>34.65</v>
      </c>
      <c r="H67" s="5">
        <f t="shared" si="1"/>
        <v>9.55693E-5</v>
      </c>
      <c r="J67" s="5">
        <v>352000</v>
      </c>
      <c r="K67" s="5">
        <v>51.493000000000002</v>
      </c>
      <c r="L67" s="5">
        <v>0</v>
      </c>
      <c r="P67" s="4">
        <v>35.200000000000003</v>
      </c>
      <c r="Q67" s="4">
        <v>1.536187350835322E-7</v>
      </c>
      <c r="R67" s="6">
        <v>35.200000000000003</v>
      </c>
      <c r="S67" s="8">
        <v>3.0286992840095455E-7</v>
      </c>
    </row>
    <row r="68" spans="3:19" x14ac:dyDescent="0.25">
      <c r="C68" s="5">
        <v>352000</v>
      </c>
      <c r="D68" s="5">
        <v>3.91858E-5</v>
      </c>
      <c r="E68" s="5">
        <v>6.2336199999999995E-5</v>
      </c>
      <c r="G68" s="5">
        <f t="shared" si="0"/>
        <v>35.200000000000003</v>
      </c>
      <c r="H68" s="5">
        <f t="shared" si="1"/>
        <v>1.0152199999999999E-4</v>
      </c>
      <c r="J68" s="5">
        <v>357500</v>
      </c>
      <c r="K68" s="5">
        <v>77.992000000000004</v>
      </c>
      <c r="L68" s="5">
        <v>0</v>
      </c>
      <c r="P68" s="4">
        <v>35.75</v>
      </c>
      <c r="Q68" s="4">
        <v>2.3267303102625295E-7</v>
      </c>
      <c r="R68" s="6">
        <v>35.75</v>
      </c>
      <c r="S68" s="8">
        <v>3.4128102625298318E-7</v>
      </c>
    </row>
    <row r="69" spans="3:19" x14ac:dyDescent="0.25">
      <c r="C69" s="5">
        <v>357500</v>
      </c>
      <c r="D69" s="5">
        <v>4.3193499999999999E-5</v>
      </c>
      <c r="E69" s="5">
        <v>7.1203899999999998E-5</v>
      </c>
      <c r="G69" s="5">
        <f t="shared" si="0"/>
        <v>35.75</v>
      </c>
      <c r="H69" s="5">
        <f t="shared" si="1"/>
        <v>1.143974E-4</v>
      </c>
      <c r="J69" s="5">
        <v>363000</v>
      </c>
      <c r="K69" s="5">
        <v>110.21</v>
      </c>
      <c r="L69" s="5">
        <v>0</v>
      </c>
      <c r="P69" s="4">
        <v>36.299999999999997</v>
      </c>
      <c r="Q69" s="4">
        <v>3.2878878281622911E-7</v>
      </c>
      <c r="R69" s="6">
        <v>36.299999999999997</v>
      </c>
      <c r="S69" s="8">
        <v>3.6205519093078753E-7</v>
      </c>
    </row>
    <row r="70" spans="3:19" x14ac:dyDescent="0.25">
      <c r="C70" s="5">
        <v>363000</v>
      </c>
      <c r="D70" s="5">
        <v>4.8311299999999999E-5</v>
      </c>
      <c r="E70" s="5">
        <v>7.3049599999999999E-5</v>
      </c>
      <c r="G70" s="5">
        <f t="shared" ref="G70:G104" si="2">C70/10000</f>
        <v>36.299999999999997</v>
      </c>
      <c r="H70" s="5">
        <f t="shared" ref="H70:H104" si="3">D70+E70</f>
        <v>1.213609E-4</v>
      </c>
      <c r="J70" s="5">
        <v>368500</v>
      </c>
      <c r="K70" s="5">
        <v>161.71</v>
      </c>
      <c r="L70" s="5">
        <v>0</v>
      </c>
      <c r="P70" s="4">
        <v>36.85</v>
      </c>
      <c r="Q70" s="4">
        <v>4.8242840095465392E-7</v>
      </c>
      <c r="R70" s="6">
        <v>36.85</v>
      </c>
      <c r="S70" s="8">
        <v>4.0672673031026244E-7</v>
      </c>
    </row>
    <row r="71" spans="3:19" x14ac:dyDescent="0.25">
      <c r="C71" s="5">
        <v>368500</v>
      </c>
      <c r="D71" s="5">
        <v>5.60498E-5</v>
      </c>
      <c r="E71" s="5">
        <v>8.0284999999999994E-5</v>
      </c>
      <c r="G71" s="5">
        <f t="shared" si="2"/>
        <v>36.85</v>
      </c>
      <c r="H71" s="5">
        <f t="shared" si="3"/>
        <v>1.363348E-4</v>
      </c>
      <c r="J71" s="5">
        <v>374000</v>
      </c>
      <c r="K71" s="5">
        <v>246.62</v>
      </c>
      <c r="L71" s="5">
        <v>0</v>
      </c>
      <c r="P71" s="4">
        <v>37.4</v>
      </c>
      <c r="Q71" s="4">
        <v>7.3573985680190923E-7</v>
      </c>
      <c r="R71" s="6">
        <v>37.4</v>
      </c>
      <c r="S71" s="8">
        <v>4.9311276849642E-7</v>
      </c>
    </row>
    <row r="72" spans="3:19" x14ac:dyDescent="0.25">
      <c r="C72" s="5">
        <v>374000</v>
      </c>
      <c r="D72" s="5">
        <v>6.6093000000000006E-5</v>
      </c>
      <c r="E72" s="5">
        <v>9.9198399999999995E-5</v>
      </c>
      <c r="G72" s="5">
        <f t="shared" si="2"/>
        <v>37.4</v>
      </c>
      <c r="H72" s="5">
        <f t="shared" si="3"/>
        <v>1.652914E-4</v>
      </c>
      <c r="J72" s="5">
        <v>379500</v>
      </c>
      <c r="K72" s="5">
        <v>414.05</v>
      </c>
      <c r="L72" s="5">
        <v>0</v>
      </c>
      <c r="P72" s="4">
        <v>37.950000000000003</v>
      </c>
      <c r="Q72" s="4">
        <v>1.2352326968973745E-6</v>
      </c>
      <c r="R72" s="6">
        <v>37.950000000000003</v>
      </c>
      <c r="S72" s="8">
        <v>5.5497762529832916E-7</v>
      </c>
    </row>
    <row r="73" spans="3:19" x14ac:dyDescent="0.25">
      <c r="C73" s="5">
        <v>379500</v>
      </c>
      <c r="D73" s="5">
        <v>8.1082500000000002E-5</v>
      </c>
      <c r="E73" s="5">
        <v>1.0494599999999999E-4</v>
      </c>
      <c r="G73" s="5">
        <f t="shared" si="2"/>
        <v>37.950000000000003</v>
      </c>
      <c r="H73" s="5">
        <f t="shared" si="3"/>
        <v>1.8602849999999998E-4</v>
      </c>
      <c r="J73" s="5">
        <v>385000</v>
      </c>
      <c r="K73" s="5">
        <v>730.24</v>
      </c>
      <c r="L73" s="5">
        <v>0</v>
      </c>
      <c r="P73" s="4">
        <v>38.5</v>
      </c>
      <c r="Q73" s="4">
        <v>2.1785202863961811E-6</v>
      </c>
      <c r="R73" s="6">
        <v>38.5</v>
      </c>
      <c r="S73" s="8">
        <v>6.6852923627684944E-7</v>
      </c>
    </row>
    <row r="74" spans="3:19" x14ac:dyDescent="0.25">
      <c r="C74" s="5">
        <v>385000</v>
      </c>
      <c r="D74" s="5">
        <v>1.0354899999999999E-4</v>
      </c>
      <c r="E74" s="5">
        <v>1.20542E-4</v>
      </c>
      <c r="G74" s="5">
        <f t="shared" si="2"/>
        <v>38.5</v>
      </c>
      <c r="H74" s="5">
        <f t="shared" si="3"/>
        <v>2.2409099999999999E-4</v>
      </c>
      <c r="J74" s="5">
        <v>390500</v>
      </c>
      <c r="K74" s="5">
        <v>1287.3</v>
      </c>
      <c r="L74" s="5">
        <v>0</v>
      </c>
      <c r="P74" s="4">
        <v>39.049999999999997</v>
      </c>
      <c r="Q74" s="4">
        <v>3.8403937947494029E-6</v>
      </c>
      <c r="R74" s="6">
        <v>39.049999999999997</v>
      </c>
      <c r="S74" s="8">
        <v>8.1685560859188542E-7</v>
      </c>
    </row>
    <row r="75" spans="3:19" x14ac:dyDescent="0.25">
      <c r="C75" s="5">
        <v>390500</v>
      </c>
      <c r="D75" s="5">
        <v>1.3636200000000001E-4</v>
      </c>
      <c r="E75" s="5">
        <v>1.37448E-4</v>
      </c>
      <c r="G75" s="5">
        <f t="shared" si="2"/>
        <v>39.049999999999997</v>
      </c>
      <c r="H75" s="5">
        <f t="shared" si="3"/>
        <v>2.7380999999999998E-4</v>
      </c>
      <c r="J75" s="5">
        <v>396000</v>
      </c>
      <c r="K75" s="5">
        <v>2162.1</v>
      </c>
      <c r="L75" s="5">
        <v>0</v>
      </c>
      <c r="P75" s="4">
        <v>39.6</v>
      </c>
      <c r="Q75" s="4">
        <v>6.4501789976133641E-6</v>
      </c>
      <c r="R75" s="6">
        <v>39.6</v>
      </c>
      <c r="S75" s="8">
        <v>9.578818615751787E-7</v>
      </c>
    </row>
    <row r="76" spans="3:19" x14ac:dyDescent="0.25">
      <c r="C76" s="5">
        <v>396000</v>
      </c>
      <c r="D76" s="5">
        <v>1.74919E-4</v>
      </c>
      <c r="E76" s="5">
        <v>1.4616299999999999E-4</v>
      </c>
      <c r="G76" s="5">
        <f t="shared" si="2"/>
        <v>39.6</v>
      </c>
      <c r="H76" s="5">
        <f t="shared" si="3"/>
        <v>3.2108199999999999E-4</v>
      </c>
      <c r="J76" s="5">
        <v>401500</v>
      </c>
      <c r="K76" s="5">
        <v>2919.7</v>
      </c>
      <c r="L76" s="5">
        <v>0</v>
      </c>
      <c r="P76" s="4">
        <v>40.15</v>
      </c>
      <c r="Q76" s="4">
        <v>8.7103221957040542E-6</v>
      </c>
      <c r="R76" s="6">
        <v>40.15</v>
      </c>
      <c r="S76" s="8">
        <v>1.0032309069212409E-6</v>
      </c>
    </row>
    <row r="77" spans="3:19" x14ac:dyDescent="0.25">
      <c r="C77" s="5">
        <v>401500</v>
      </c>
      <c r="D77" s="5">
        <v>1.93802E-4</v>
      </c>
      <c r="E77" s="5">
        <v>1.4248099999999999E-4</v>
      </c>
      <c r="G77" s="5">
        <f t="shared" si="2"/>
        <v>40.15</v>
      </c>
      <c r="H77" s="5">
        <f t="shared" si="3"/>
        <v>3.3628299999999999E-4</v>
      </c>
      <c r="J77" s="5">
        <v>407000</v>
      </c>
      <c r="K77" s="5">
        <v>3250.7</v>
      </c>
      <c r="L77" s="5">
        <v>0</v>
      </c>
      <c r="P77" s="4">
        <v>40.700000000000003</v>
      </c>
      <c r="Q77" s="4">
        <v>9.6977923627684941E-6</v>
      </c>
      <c r="R77" s="6">
        <v>40.700000000000003</v>
      </c>
      <c r="S77" s="8">
        <v>9.2100238663484476E-7</v>
      </c>
    </row>
    <row r="78" spans="3:19" x14ac:dyDescent="0.25">
      <c r="C78" s="5">
        <v>407000</v>
      </c>
      <c r="D78" s="5">
        <v>1.86873E-4</v>
      </c>
      <c r="E78" s="5">
        <v>1.21847E-4</v>
      </c>
      <c r="G78" s="5">
        <f t="shared" si="2"/>
        <v>40.700000000000003</v>
      </c>
      <c r="H78" s="5">
        <f t="shared" si="3"/>
        <v>3.0872000000000001E-4</v>
      </c>
      <c r="J78" s="5">
        <v>412500</v>
      </c>
      <c r="K78" s="5">
        <v>2915.2</v>
      </c>
      <c r="L78" s="5">
        <v>0</v>
      </c>
      <c r="P78" s="4">
        <v>41.25</v>
      </c>
      <c r="Q78" s="4">
        <v>8.6968973747016682E-6</v>
      </c>
      <c r="R78" s="6">
        <v>41.25</v>
      </c>
      <c r="S78" s="8">
        <v>6.7961664677804291E-7</v>
      </c>
    </row>
    <row r="79" spans="3:19" x14ac:dyDescent="0.25">
      <c r="C79" s="5">
        <v>412500</v>
      </c>
      <c r="D79" s="5">
        <v>1.4497300000000001E-4</v>
      </c>
      <c r="E79" s="5">
        <v>8.2834499999999994E-5</v>
      </c>
      <c r="G79" s="5">
        <f t="shared" si="2"/>
        <v>41.25</v>
      </c>
      <c r="H79" s="5">
        <f t="shared" si="3"/>
        <v>2.2780750000000002E-4</v>
      </c>
      <c r="J79" s="5">
        <v>418000</v>
      </c>
      <c r="K79" s="5">
        <v>2009.7</v>
      </c>
      <c r="L79" s="5">
        <v>0</v>
      </c>
      <c r="P79" s="4">
        <v>41.8</v>
      </c>
      <c r="Q79" s="4">
        <v>5.9955250596658721E-6</v>
      </c>
      <c r="R79" s="6">
        <v>41.8</v>
      </c>
      <c r="S79" s="8">
        <v>4.0661903341288776E-7</v>
      </c>
    </row>
    <row r="80" spans="3:19" x14ac:dyDescent="0.25">
      <c r="C80" s="5">
        <v>418000</v>
      </c>
      <c r="D80" s="5">
        <v>9.0039599999999998E-5</v>
      </c>
      <c r="E80" s="5">
        <v>4.6259099999999999E-5</v>
      </c>
      <c r="G80" s="5">
        <f t="shared" si="2"/>
        <v>41.8</v>
      </c>
      <c r="H80" s="5">
        <f t="shared" si="3"/>
        <v>1.362987E-4</v>
      </c>
      <c r="J80" s="5">
        <v>423500</v>
      </c>
      <c r="K80" s="5">
        <v>980.47</v>
      </c>
      <c r="L80" s="5">
        <v>0</v>
      </c>
      <c r="P80" s="4">
        <v>42.35</v>
      </c>
      <c r="Q80" s="4">
        <v>2.9250298329355608E-6</v>
      </c>
      <c r="R80" s="6">
        <v>42.35</v>
      </c>
      <c r="S80" s="8">
        <v>1.7980757756563245E-7</v>
      </c>
    </row>
    <row r="81" spans="3:19" x14ac:dyDescent="0.25">
      <c r="C81" s="5">
        <v>423500</v>
      </c>
      <c r="D81" s="5">
        <v>4.1228800000000001E-5</v>
      </c>
      <c r="E81" s="5">
        <v>1.90427E-5</v>
      </c>
      <c r="G81" s="5">
        <f t="shared" si="2"/>
        <v>42.35</v>
      </c>
      <c r="H81" s="5">
        <f t="shared" si="3"/>
        <v>6.0271500000000001E-5</v>
      </c>
      <c r="J81" s="5">
        <v>429000</v>
      </c>
      <c r="K81" s="5">
        <v>384.54</v>
      </c>
      <c r="L81" s="5">
        <v>0</v>
      </c>
      <c r="P81" s="4">
        <v>42.9</v>
      </c>
      <c r="Q81" s="4">
        <v>1.1471957040572794E-6</v>
      </c>
      <c r="R81" s="6">
        <v>42.9</v>
      </c>
      <c r="S81" s="8">
        <v>6.5381831742243423E-8</v>
      </c>
    </row>
    <row r="82" spans="3:19" x14ac:dyDescent="0.25">
      <c r="C82" s="5">
        <v>429000</v>
      </c>
      <c r="D82" s="5">
        <v>1.5296400000000001E-5</v>
      </c>
      <c r="E82" s="5">
        <v>6.6195900000000003E-6</v>
      </c>
      <c r="G82" s="5">
        <f t="shared" si="2"/>
        <v>42.9</v>
      </c>
      <c r="H82" s="5">
        <f t="shared" si="3"/>
        <v>2.1915990000000001E-5</v>
      </c>
      <c r="J82" s="5">
        <v>434500</v>
      </c>
      <c r="K82" s="5">
        <v>118.34</v>
      </c>
      <c r="L82" s="5">
        <v>0</v>
      </c>
      <c r="P82" s="4">
        <v>43.45</v>
      </c>
      <c r="Q82" s="4">
        <v>3.5304295942720756E-7</v>
      </c>
      <c r="R82" s="6">
        <v>43.45</v>
      </c>
      <c r="S82" s="8">
        <v>1.7210799522673026E-8</v>
      </c>
    </row>
    <row r="83" spans="3:19" x14ac:dyDescent="0.25">
      <c r="C83" s="5">
        <v>434500</v>
      </c>
      <c r="D83" s="5">
        <v>4.2032099999999997E-6</v>
      </c>
      <c r="E83" s="5">
        <v>1.56585E-6</v>
      </c>
      <c r="G83" s="5">
        <f t="shared" si="2"/>
        <v>43.45</v>
      </c>
      <c r="H83" s="5">
        <f t="shared" si="3"/>
        <v>5.7690599999999993E-6</v>
      </c>
      <c r="J83" s="5">
        <v>440000</v>
      </c>
      <c r="K83" s="5">
        <v>29.812000000000001</v>
      </c>
      <c r="L83" s="5">
        <v>0</v>
      </c>
      <c r="P83" s="4">
        <v>44</v>
      </c>
      <c r="Q83" s="4">
        <v>8.8937947494033427E-8</v>
      </c>
      <c r="R83" s="6">
        <v>44</v>
      </c>
      <c r="S83" s="8">
        <v>3.7210710023866342E-9</v>
      </c>
    </row>
    <row r="84" spans="3:19" x14ac:dyDescent="0.25">
      <c r="C84" s="5">
        <v>440000</v>
      </c>
      <c r="D84" s="5">
        <v>9.1465699999999998E-7</v>
      </c>
      <c r="E84" s="5">
        <v>3.32646E-7</v>
      </c>
      <c r="G84" s="5">
        <f t="shared" si="2"/>
        <v>44</v>
      </c>
      <c r="H84" s="5">
        <f t="shared" si="3"/>
        <v>1.247303E-6</v>
      </c>
      <c r="J84" s="5">
        <v>445500</v>
      </c>
      <c r="K84" s="5">
        <v>5.7214</v>
      </c>
      <c r="L84" s="5">
        <v>0</v>
      </c>
      <c r="P84" s="4">
        <v>44.55</v>
      </c>
      <c r="Q84" s="4">
        <v>1.7068615751789974E-8</v>
      </c>
      <c r="R84" s="6">
        <v>44.55</v>
      </c>
      <c r="S84" s="8">
        <v>8.3543138424820981E-10</v>
      </c>
    </row>
    <row r="85" spans="3:19" x14ac:dyDescent="0.25">
      <c r="C85" s="5">
        <v>445500</v>
      </c>
      <c r="D85" s="5">
        <v>2.2866399999999999E-7</v>
      </c>
      <c r="E85" s="5">
        <v>5.1372599999999998E-8</v>
      </c>
      <c r="G85" s="5">
        <f t="shared" si="2"/>
        <v>44.55</v>
      </c>
      <c r="H85" s="5">
        <f t="shared" si="3"/>
        <v>2.8003659999999996E-7</v>
      </c>
      <c r="J85" s="5">
        <v>451000</v>
      </c>
      <c r="K85" s="5">
        <v>0</v>
      </c>
      <c r="L85" s="5">
        <v>0</v>
      </c>
      <c r="P85" s="4">
        <v>45.1</v>
      </c>
      <c r="Q85" s="4">
        <v>0</v>
      </c>
      <c r="R85" s="6">
        <v>45.1</v>
      </c>
      <c r="S85" s="8">
        <v>8.9759546539379486E-12</v>
      </c>
    </row>
    <row r="86" spans="3:19" x14ac:dyDescent="0.25">
      <c r="C86" s="5">
        <v>451000</v>
      </c>
      <c r="D86" s="5">
        <v>3.0087400000000001E-9</v>
      </c>
      <c r="E86" s="5">
        <v>0</v>
      </c>
      <c r="G86" s="5">
        <f t="shared" si="2"/>
        <v>45.1</v>
      </c>
      <c r="H86" s="5">
        <f t="shared" si="3"/>
        <v>3.0087400000000001E-9</v>
      </c>
      <c r="J86" s="5">
        <v>456500</v>
      </c>
      <c r="K86" s="5">
        <v>0</v>
      </c>
      <c r="L86" s="5">
        <v>0</v>
      </c>
      <c r="P86" s="4">
        <v>45.65</v>
      </c>
      <c r="Q86" s="4">
        <v>0</v>
      </c>
      <c r="R86" s="6">
        <v>45.65</v>
      </c>
      <c r="S86" s="8">
        <v>0</v>
      </c>
    </row>
    <row r="87" spans="3:19" x14ac:dyDescent="0.25">
      <c r="C87" s="5">
        <v>456500</v>
      </c>
      <c r="D87" s="5">
        <v>0</v>
      </c>
      <c r="E87" s="5">
        <v>0</v>
      </c>
      <c r="G87" s="5">
        <f t="shared" si="2"/>
        <v>45.65</v>
      </c>
      <c r="H87" s="5">
        <f t="shared" si="3"/>
        <v>0</v>
      </c>
      <c r="J87" s="5">
        <v>462000</v>
      </c>
      <c r="K87" s="5">
        <v>0</v>
      </c>
      <c r="L87" s="5">
        <v>0</v>
      </c>
      <c r="P87" s="4">
        <v>46.2</v>
      </c>
      <c r="Q87" s="4">
        <v>0</v>
      </c>
      <c r="R87" s="6">
        <v>46.2</v>
      </c>
      <c r="S87" s="8">
        <v>0</v>
      </c>
    </row>
    <row r="88" spans="3:19" x14ac:dyDescent="0.25">
      <c r="C88" s="5">
        <v>462000</v>
      </c>
      <c r="D88" s="5">
        <v>0</v>
      </c>
      <c r="E88" s="5">
        <v>0</v>
      </c>
      <c r="G88" s="5">
        <f t="shared" si="2"/>
        <v>46.2</v>
      </c>
      <c r="H88" s="5">
        <f t="shared" si="3"/>
        <v>0</v>
      </c>
      <c r="J88" s="5">
        <v>467500</v>
      </c>
      <c r="K88" s="5">
        <v>0</v>
      </c>
      <c r="L88" s="5">
        <v>0</v>
      </c>
      <c r="P88" s="4">
        <v>46.75</v>
      </c>
      <c r="Q88" s="4">
        <v>0</v>
      </c>
      <c r="R88" s="6">
        <v>46.75</v>
      </c>
      <c r="S88" s="8">
        <v>0</v>
      </c>
    </row>
    <row r="89" spans="3:19" x14ac:dyDescent="0.25">
      <c r="C89" s="5">
        <v>467500</v>
      </c>
      <c r="D89" s="5">
        <v>0</v>
      </c>
      <c r="E89" s="5">
        <v>0</v>
      </c>
      <c r="G89" s="5">
        <f t="shared" si="2"/>
        <v>46.75</v>
      </c>
      <c r="H89" s="5">
        <f t="shared" si="3"/>
        <v>0</v>
      </c>
      <c r="J89" s="5">
        <v>473000</v>
      </c>
      <c r="K89" s="5">
        <v>0</v>
      </c>
      <c r="L89" s="5">
        <v>0</v>
      </c>
      <c r="P89" s="4">
        <v>47.3</v>
      </c>
      <c r="Q89" s="4">
        <v>0</v>
      </c>
      <c r="R89" s="6">
        <v>47.3</v>
      </c>
      <c r="S89" s="8">
        <v>0</v>
      </c>
    </row>
    <row r="90" spans="3:19" x14ac:dyDescent="0.25">
      <c r="C90" s="5">
        <v>473000</v>
      </c>
      <c r="D90" s="5">
        <v>0</v>
      </c>
      <c r="E90" s="5">
        <v>0</v>
      </c>
      <c r="G90" s="5">
        <f t="shared" si="2"/>
        <v>47.3</v>
      </c>
      <c r="H90" s="5">
        <f t="shared" si="3"/>
        <v>0</v>
      </c>
      <c r="J90" s="5">
        <v>478500</v>
      </c>
      <c r="K90" s="5">
        <v>0</v>
      </c>
      <c r="L90" s="5">
        <v>0</v>
      </c>
      <c r="P90" s="4">
        <v>47.85</v>
      </c>
      <c r="Q90" s="4">
        <v>0</v>
      </c>
      <c r="R90" s="6">
        <v>47.85</v>
      </c>
      <c r="S90" s="8">
        <v>0</v>
      </c>
    </row>
    <row r="91" spans="3:19" x14ac:dyDescent="0.25">
      <c r="C91" s="5">
        <v>478500</v>
      </c>
      <c r="D91" s="5">
        <v>0</v>
      </c>
      <c r="E91" s="5">
        <v>0</v>
      </c>
      <c r="G91" s="5">
        <f t="shared" si="2"/>
        <v>47.85</v>
      </c>
      <c r="H91" s="5">
        <f t="shared" si="3"/>
        <v>0</v>
      </c>
      <c r="J91" s="5">
        <v>484000</v>
      </c>
      <c r="K91" s="5">
        <v>0</v>
      </c>
      <c r="L91" s="5">
        <v>0</v>
      </c>
      <c r="P91" s="4">
        <v>48.4</v>
      </c>
      <c r="Q91" s="4">
        <v>0</v>
      </c>
      <c r="R91" s="6">
        <v>48.4</v>
      </c>
      <c r="S91" s="8">
        <v>0</v>
      </c>
    </row>
    <row r="92" spans="3:19" x14ac:dyDescent="0.25">
      <c r="C92" s="5">
        <v>484000</v>
      </c>
      <c r="D92" s="5">
        <v>0</v>
      </c>
      <c r="E92" s="5">
        <v>0</v>
      </c>
      <c r="G92" s="5">
        <f t="shared" si="2"/>
        <v>48.4</v>
      </c>
      <c r="H92" s="5">
        <f t="shared" si="3"/>
        <v>0</v>
      </c>
      <c r="J92" s="5">
        <v>489500</v>
      </c>
      <c r="K92" s="5">
        <v>0</v>
      </c>
      <c r="L92" s="5">
        <v>0</v>
      </c>
      <c r="P92" s="4">
        <v>48.95</v>
      </c>
      <c r="Q92" s="4">
        <v>0</v>
      </c>
      <c r="R92" s="6">
        <v>48.95</v>
      </c>
      <c r="S92" s="8">
        <v>0</v>
      </c>
    </row>
    <row r="93" spans="3:19" x14ac:dyDescent="0.25">
      <c r="C93" s="5">
        <v>489500</v>
      </c>
      <c r="D93" s="5">
        <v>0</v>
      </c>
      <c r="E93" s="5">
        <v>0</v>
      </c>
      <c r="G93" s="5">
        <f t="shared" si="2"/>
        <v>48.95</v>
      </c>
      <c r="H93" s="5">
        <f t="shared" si="3"/>
        <v>0</v>
      </c>
      <c r="J93" s="5">
        <v>495000</v>
      </c>
      <c r="K93" s="5">
        <v>0</v>
      </c>
      <c r="L93" s="5">
        <v>0</v>
      </c>
      <c r="P93" s="4">
        <v>49.5</v>
      </c>
      <c r="Q93" s="4">
        <v>0</v>
      </c>
      <c r="R93" s="6">
        <v>49.5</v>
      </c>
      <c r="S93" s="8">
        <v>0</v>
      </c>
    </row>
    <row r="94" spans="3:19" x14ac:dyDescent="0.25">
      <c r="C94" s="5">
        <v>495000</v>
      </c>
      <c r="D94" s="5">
        <v>0</v>
      </c>
      <c r="E94" s="5">
        <v>0</v>
      </c>
      <c r="G94" s="5">
        <f t="shared" si="2"/>
        <v>49.5</v>
      </c>
      <c r="H94" s="5">
        <f t="shared" si="3"/>
        <v>0</v>
      </c>
      <c r="J94" s="5">
        <v>500500</v>
      </c>
      <c r="K94" s="5">
        <v>0</v>
      </c>
      <c r="L94" s="5">
        <v>0</v>
      </c>
      <c r="P94" s="4">
        <v>50.05</v>
      </c>
      <c r="Q94" s="4">
        <v>0</v>
      </c>
      <c r="R94" s="6">
        <v>50.05</v>
      </c>
      <c r="S94" s="8">
        <v>0</v>
      </c>
    </row>
    <row r="95" spans="3:19" x14ac:dyDescent="0.25">
      <c r="C95" s="5">
        <v>500500</v>
      </c>
      <c r="D95" s="5">
        <v>0</v>
      </c>
      <c r="E95" s="5">
        <v>0</v>
      </c>
      <c r="G95" s="5">
        <f t="shared" si="2"/>
        <v>50.05</v>
      </c>
      <c r="H95" s="5">
        <f t="shared" si="3"/>
        <v>0</v>
      </c>
      <c r="J95" s="5">
        <v>506000</v>
      </c>
      <c r="K95" s="5">
        <v>0</v>
      </c>
      <c r="L95" s="5">
        <v>0</v>
      </c>
      <c r="P95" s="4">
        <v>50.6</v>
      </c>
      <c r="Q95" s="4">
        <v>0</v>
      </c>
      <c r="R95" s="6">
        <v>50.6</v>
      </c>
      <c r="S95" s="8">
        <v>0</v>
      </c>
    </row>
    <row r="96" spans="3:19" x14ac:dyDescent="0.25">
      <c r="C96" s="5">
        <v>506000</v>
      </c>
      <c r="D96" s="5">
        <v>0</v>
      </c>
      <c r="E96" s="5">
        <v>0</v>
      </c>
      <c r="G96" s="5">
        <f t="shared" si="2"/>
        <v>50.6</v>
      </c>
      <c r="H96" s="5">
        <f t="shared" si="3"/>
        <v>0</v>
      </c>
      <c r="J96" s="5">
        <v>511500</v>
      </c>
      <c r="K96" s="5">
        <v>0</v>
      </c>
      <c r="L96" s="5">
        <v>0</v>
      </c>
      <c r="P96" s="4">
        <v>51.15</v>
      </c>
      <c r="Q96" s="4">
        <v>0</v>
      </c>
      <c r="R96" s="6">
        <v>51.15</v>
      </c>
      <c r="S96" s="8">
        <v>0</v>
      </c>
    </row>
    <row r="97" spans="3:19" x14ac:dyDescent="0.25">
      <c r="C97" s="5">
        <v>511500</v>
      </c>
      <c r="D97" s="5">
        <v>0</v>
      </c>
      <c r="E97" s="5">
        <v>0</v>
      </c>
      <c r="G97" s="5">
        <f t="shared" si="2"/>
        <v>51.15</v>
      </c>
      <c r="H97" s="5">
        <f t="shared" si="3"/>
        <v>0</v>
      </c>
      <c r="J97" s="5">
        <v>517000</v>
      </c>
      <c r="K97" s="5">
        <v>0</v>
      </c>
      <c r="L97" s="5">
        <v>0</v>
      </c>
      <c r="P97" s="4">
        <v>51.7</v>
      </c>
      <c r="Q97" s="4">
        <v>0</v>
      </c>
      <c r="R97" s="6">
        <v>51.7</v>
      </c>
      <c r="S97" s="8">
        <v>0</v>
      </c>
    </row>
    <row r="98" spans="3:19" x14ac:dyDescent="0.25">
      <c r="C98" s="5">
        <v>517000</v>
      </c>
      <c r="D98" s="5">
        <v>0</v>
      </c>
      <c r="E98" s="5">
        <v>0</v>
      </c>
      <c r="G98" s="5">
        <f t="shared" si="2"/>
        <v>51.7</v>
      </c>
      <c r="H98" s="5">
        <f t="shared" si="3"/>
        <v>0</v>
      </c>
      <c r="J98" s="5">
        <v>522500</v>
      </c>
      <c r="K98" s="5">
        <v>0</v>
      </c>
      <c r="L98" s="5">
        <v>0</v>
      </c>
      <c r="P98" s="4">
        <v>52.25</v>
      </c>
      <c r="Q98" s="4">
        <v>0</v>
      </c>
      <c r="R98" s="6">
        <v>52.25</v>
      </c>
      <c r="S98" s="8">
        <v>0</v>
      </c>
    </row>
    <row r="99" spans="3:19" x14ac:dyDescent="0.25">
      <c r="C99" s="5">
        <v>522500</v>
      </c>
      <c r="D99" s="5">
        <v>0</v>
      </c>
      <c r="E99" s="5">
        <v>0</v>
      </c>
      <c r="G99" s="5">
        <f t="shared" si="2"/>
        <v>52.25</v>
      </c>
      <c r="H99" s="5">
        <f t="shared" si="3"/>
        <v>0</v>
      </c>
      <c r="J99" s="5">
        <v>528000</v>
      </c>
      <c r="K99" s="5">
        <v>0</v>
      </c>
      <c r="L99" s="5">
        <v>0</v>
      </c>
      <c r="P99" s="4">
        <v>52.8</v>
      </c>
      <c r="Q99" s="4">
        <v>0</v>
      </c>
      <c r="R99" s="6">
        <v>52.8</v>
      </c>
      <c r="S99" s="8">
        <v>0</v>
      </c>
    </row>
    <row r="100" spans="3:19" x14ac:dyDescent="0.25">
      <c r="C100" s="5">
        <v>528000</v>
      </c>
      <c r="D100" s="5">
        <v>0</v>
      </c>
      <c r="E100" s="5">
        <v>0</v>
      </c>
      <c r="G100" s="5">
        <f t="shared" si="2"/>
        <v>52.8</v>
      </c>
      <c r="H100" s="5">
        <f t="shared" si="3"/>
        <v>0</v>
      </c>
      <c r="J100" s="5">
        <v>533500</v>
      </c>
      <c r="K100" s="5">
        <v>0</v>
      </c>
      <c r="L100" s="5">
        <v>0</v>
      </c>
      <c r="P100" s="4">
        <v>53.35</v>
      </c>
      <c r="Q100" s="4">
        <v>0</v>
      </c>
      <c r="R100" s="6">
        <v>53.35</v>
      </c>
      <c r="S100" s="8">
        <v>0</v>
      </c>
    </row>
    <row r="101" spans="3:19" x14ac:dyDescent="0.25">
      <c r="C101" s="5">
        <v>533500</v>
      </c>
      <c r="D101" s="5">
        <v>0</v>
      </c>
      <c r="E101" s="5">
        <v>0</v>
      </c>
      <c r="G101" s="5">
        <f t="shared" si="2"/>
        <v>53.35</v>
      </c>
      <c r="H101" s="5">
        <f t="shared" si="3"/>
        <v>0</v>
      </c>
      <c r="J101" s="5">
        <v>539000</v>
      </c>
      <c r="K101" s="5">
        <v>0</v>
      </c>
      <c r="L101" s="5">
        <v>0</v>
      </c>
      <c r="P101" s="4">
        <v>53.9</v>
      </c>
      <c r="Q101" s="4">
        <v>0</v>
      </c>
      <c r="R101" s="6">
        <v>53.9</v>
      </c>
      <c r="S101" s="8">
        <v>0</v>
      </c>
    </row>
    <row r="102" spans="3:19" x14ac:dyDescent="0.25">
      <c r="C102" s="5">
        <v>539000</v>
      </c>
      <c r="D102" s="5">
        <v>0</v>
      </c>
      <c r="E102" s="5">
        <v>0</v>
      </c>
      <c r="G102" s="5">
        <f t="shared" si="2"/>
        <v>53.9</v>
      </c>
      <c r="H102" s="5">
        <f t="shared" si="3"/>
        <v>0</v>
      </c>
      <c r="J102" s="5">
        <v>544500</v>
      </c>
      <c r="K102" s="5">
        <v>0</v>
      </c>
      <c r="L102" s="5">
        <v>0</v>
      </c>
      <c r="P102" s="4">
        <v>54.45</v>
      </c>
      <c r="Q102" s="4">
        <v>0</v>
      </c>
      <c r="R102" s="6">
        <v>54.45</v>
      </c>
      <c r="S102" s="8">
        <v>0</v>
      </c>
    </row>
    <row r="103" spans="3:19" x14ac:dyDescent="0.25">
      <c r="C103" s="5">
        <v>544500</v>
      </c>
      <c r="D103" s="5">
        <v>0</v>
      </c>
      <c r="E103" s="5">
        <v>0</v>
      </c>
      <c r="G103" s="5">
        <f t="shared" si="2"/>
        <v>54.45</v>
      </c>
      <c r="H103" s="5">
        <f t="shared" si="3"/>
        <v>0</v>
      </c>
      <c r="J103" s="5">
        <v>550000</v>
      </c>
      <c r="K103" s="5">
        <v>0</v>
      </c>
      <c r="L103" s="5">
        <v>0</v>
      </c>
      <c r="P103" s="4">
        <v>55</v>
      </c>
      <c r="Q103" s="4">
        <v>0</v>
      </c>
      <c r="R103" s="6">
        <v>55</v>
      </c>
      <c r="S103" s="8">
        <v>0</v>
      </c>
    </row>
    <row r="104" spans="3:19" x14ac:dyDescent="0.25">
      <c r="C104" s="5">
        <v>550000</v>
      </c>
      <c r="D104" s="5">
        <v>0</v>
      </c>
      <c r="E104" s="5">
        <v>0</v>
      </c>
      <c r="G104" s="5">
        <f t="shared" si="2"/>
        <v>55</v>
      </c>
      <c r="H104" s="5">
        <f t="shared" si="3"/>
        <v>0</v>
      </c>
      <c r="P104" s="4"/>
      <c r="Q104" s="4"/>
      <c r="R104" s="6"/>
      <c r="S104" s="8"/>
    </row>
    <row r="105" spans="3:19" x14ac:dyDescent="0.25">
      <c r="P105" s="4"/>
      <c r="Q105" s="4"/>
      <c r="R105" s="6"/>
      <c r="S105" s="8"/>
    </row>
    <row r="106" spans="3:19" x14ac:dyDescent="0.25">
      <c r="P106" s="4"/>
      <c r="Q10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srim details</vt:lpstr>
      <vt:lpstr>dose rate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2025-08-21T00:58:39Z</dcterms:modified>
</cp:coreProperties>
</file>