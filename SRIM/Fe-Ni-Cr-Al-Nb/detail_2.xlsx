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nde\MIT Dropbox\Wande Cairang\MIT research\Metal RAC\Fe-20Cr\Draft\GitHub\SRIM\Fe-Ni-Cr-Al-Nb\"/>
    </mc:Choice>
  </mc:AlternateContent>
  <xr:revisionPtr revIDLastSave="0" documentId="13_ncr:1_{DA696048-3E41-468D-8CFB-D0E95C645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7" i="1"/>
  <c r="F8" i="1"/>
  <c r="F29" i="1"/>
  <c r="F30" i="1"/>
  <c r="F31" i="1"/>
  <c r="F32" i="1"/>
  <c r="F33" i="1"/>
  <c r="F34" i="1"/>
  <c r="F35" i="1"/>
  <c r="F36" i="1"/>
  <c r="F37" i="1"/>
  <c r="F38" i="1"/>
  <c r="F39" i="1"/>
  <c r="F40" i="1"/>
  <c r="F61" i="1"/>
  <c r="F62" i="1"/>
  <c r="F63" i="1"/>
  <c r="F64" i="1"/>
  <c r="F65" i="1"/>
  <c r="F66" i="1"/>
  <c r="F67" i="1"/>
  <c r="F68" i="1"/>
  <c r="F69" i="1"/>
  <c r="F70" i="1"/>
  <c r="F71" i="1"/>
  <c r="F72" i="1"/>
  <c r="F93" i="1"/>
  <c r="F94" i="1"/>
  <c r="F95" i="1"/>
  <c r="F96" i="1"/>
  <c r="F97" i="1"/>
  <c r="F98" i="1"/>
  <c r="F99" i="1"/>
  <c r="F100" i="1"/>
  <c r="F101" i="1"/>
  <c r="F102" i="1"/>
  <c r="F103" i="1"/>
  <c r="F104" i="1"/>
  <c r="T5" i="1"/>
  <c r="S5" i="1"/>
  <c r="R5" i="1"/>
  <c r="Q5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7" i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F105" i="1" s="1"/>
  <c r="E106" i="1"/>
  <c r="F106" i="1" s="1"/>
  <c r="E7" i="1"/>
  <c r="F7" i="1" s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7" i="1"/>
</calcChain>
</file>

<file path=xl/sharedStrings.xml><?xml version="1.0" encoding="utf-8"?>
<sst xmlns="http://schemas.openxmlformats.org/spreadsheetml/2006/main" count="28" uniqueCount="20">
  <si>
    <t>TARGET</t>
  </si>
  <si>
    <t>VACANCIES</t>
  </si>
  <si>
    <t>DEPTH</t>
  </si>
  <si>
    <t>by</t>
  </si>
  <si>
    <t>(Ang.)</t>
  </si>
  <si>
    <t>IONS</t>
  </si>
  <si>
    <t>RECOILS</t>
  </si>
  <si>
    <t>-----------</t>
  </si>
  <si>
    <t>------------</t>
  </si>
  <si>
    <t>distance(um)</t>
  </si>
  <si>
    <t>total vacancy</t>
  </si>
  <si>
    <t>H</t>
  </si>
  <si>
    <t>Recoil</t>
  </si>
  <si>
    <t>Ions</t>
  </si>
  <si>
    <t>Distribution</t>
  </si>
  <si>
    <t>----------</t>
  </si>
  <si>
    <t xml:space="preserve">beam current density </t>
  </si>
  <si>
    <t xml:space="preserve">Electrron charge </t>
  </si>
  <si>
    <t>atomic volume</t>
  </si>
  <si>
    <t>dpa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</si>
</sst>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107"/>
  <sheetViews>
    <sheetView tabSelected="1" topLeftCell="A74" zoomScaleNormal="100" workbookViewId="0">
      <selection activeCell="F7" sqref="F7:F106"/>
    </sheetView>
  </sheetViews>
  <sheetFormatPr defaultRowHeight="15" x14ac:dyDescent="0.25"/>
  <cols>
    <col min="5" max="5" width="12.42578125" customWidth="1"/>
    <col min="6" max="6" width="19" customWidth="1"/>
    <col min="17" max="17" width="8.5703125" customWidth="1"/>
  </cols>
  <sheetData>
    <row r="3" spans="1:20" x14ac:dyDescent="0.25">
      <c r="A3" t="s">
        <v>9</v>
      </c>
      <c r="B3" t="s">
        <v>0</v>
      </c>
      <c r="C3" t="s">
        <v>1</v>
      </c>
      <c r="D3" t="s">
        <v>1</v>
      </c>
    </row>
    <row r="4" spans="1:20" x14ac:dyDescent="0.25">
      <c r="B4" t="s">
        <v>2</v>
      </c>
      <c r="C4" t="s">
        <v>3</v>
      </c>
      <c r="D4" t="s">
        <v>3</v>
      </c>
      <c r="H4" t="s">
        <v>9</v>
      </c>
      <c r="I4" t="s">
        <v>2</v>
      </c>
      <c r="J4" t="s">
        <v>11</v>
      </c>
      <c r="K4" t="s">
        <v>12</v>
      </c>
      <c r="P4" t="s">
        <v>16</v>
      </c>
      <c r="S4" t="s">
        <v>17</v>
      </c>
      <c r="T4" t="s">
        <v>18</v>
      </c>
    </row>
    <row r="5" spans="1:20" x14ac:dyDescent="0.25">
      <c r="B5" t="s">
        <v>4</v>
      </c>
      <c r="C5" t="s">
        <v>5</v>
      </c>
      <c r="D5" t="s">
        <v>6</v>
      </c>
      <c r="E5" t="s">
        <v>10</v>
      </c>
      <c r="F5" t="s">
        <v>19</v>
      </c>
      <c r="I5" t="s">
        <v>4</v>
      </c>
      <c r="J5" t="s">
        <v>13</v>
      </c>
      <c r="K5" t="s">
        <v>14</v>
      </c>
      <c r="P5">
        <v>0.4</v>
      </c>
      <c r="Q5">
        <f>10^8</f>
        <v>100000000</v>
      </c>
      <c r="R5">
        <f>10^-6</f>
        <v>9.9999999999999995E-7</v>
      </c>
      <c r="S5">
        <f>6.25*10^18</f>
        <v>6.25E+18</v>
      </c>
      <c r="T5">
        <f>8.38*10^22</f>
        <v>8.380000000000001E+22</v>
      </c>
    </row>
    <row r="6" spans="1:20" x14ac:dyDescent="0.25">
      <c r="B6" t="s">
        <v>7</v>
      </c>
      <c r="C6" t="s">
        <v>7</v>
      </c>
      <c r="D6" t="s">
        <v>8</v>
      </c>
      <c r="I6" t="s">
        <v>7</v>
      </c>
      <c r="J6" t="s">
        <v>15</v>
      </c>
      <c r="K6" t="s">
        <v>8</v>
      </c>
    </row>
    <row r="7" spans="1:20" x14ac:dyDescent="0.25">
      <c r="A7" s="1">
        <f>B7/10000</f>
        <v>0.55000100000000007</v>
      </c>
      <c r="B7" s="1">
        <v>5500.01</v>
      </c>
      <c r="C7" s="1">
        <v>1.2762500000000001E-6</v>
      </c>
      <c r="D7" s="1">
        <v>3.1568399999999998E-6</v>
      </c>
      <c r="E7" s="1">
        <f>C7+D7</f>
        <v>4.4330900000000001E-6</v>
      </c>
      <c r="F7" s="1">
        <f>E7*$P$5*$Q$5*$R$5*$S$5/$T$5</f>
        <v>1.3225208830548926E-8</v>
      </c>
      <c r="H7" s="1">
        <f>I7/10000</f>
        <v>0.55000100000000007</v>
      </c>
      <c r="I7" s="1">
        <v>5500.01</v>
      </c>
      <c r="J7" s="1">
        <v>0.36476999999999998</v>
      </c>
      <c r="K7" s="1">
        <v>0</v>
      </c>
      <c r="L7" s="1">
        <f>J7*$P$5*10^-6*$S$5/($T$5)*100</f>
        <v>1.0882159904534605E-9</v>
      </c>
    </row>
    <row r="8" spans="1:20" x14ac:dyDescent="0.25">
      <c r="A8" s="1">
        <f t="shared" ref="A8:A71" si="0">B8/10000</f>
        <v>1.1000000000000001</v>
      </c>
      <c r="B8" s="1">
        <v>11000</v>
      </c>
      <c r="C8" s="1">
        <v>4.3009599999999997E-6</v>
      </c>
      <c r="D8" s="1">
        <v>1.0507600000000001E-5</v>
      </c>
      <c r="E8" s="1">
        <f t="shared" ref="E8:E71" si="1">C8+D8</f>
        <v>1.480856E-5</v>
      </c>
      <c r="F8" s="1">
        <f t="shared" ref="F8:F71" si="2">E8*$P$5*$Q$5*$R$5*$S$5/$T$5</f>
        <v>4.4178281622911696E-8</v>
      </c>
      <c r="H8" s="1">
        <f t="shared" ref="H8:H71" si="3">I8/10000</f>
        <v>1.1000000000000001</v>
      </c>
      <c r="I8" s="1">
        <v>11000</v>
      </c>
      <c r="J8" s="1">
        <v>0</v>
      </c>
      <c r="K8" s="1">
        <v>0</v>
      </c>
      <c r="L8" s="1">
        <f t="shared" ref="L8:L71" si="4">J8*$P$5*10^-6*$S$5/($T$5)*100</f>
        <v>0</v>
      </c>
    </row>
    <row r="9" spans="1:20" x14ac:dyDescent="0.25">
      <c r="A9" s="1">
        <f t="shared" si="0"/>
        <v>1.65</v>
      </c>
      <c r="B9" s="1">
        <v>16500</v>
      </c>
      <c r="C9" s="1">
        <v>4.29732E-6</v>
      </c>
      <c r="D9" s="1">
        <v>9.9446900000000008E-6</v>
      </c>
      <c r="E9" s="1">
        <f t="shared" si="1"/>
        <v>1.4242010000000001E-5</v>
      </c>
      <c r="F9" s="1">
        <f t="shared" si="2"/>
        <v>4.2488096658711219E-8</v>
      </c>
      <c r="H9" s="1">
        <f t="shared" si="3"/>
        <v>1.65</v>
      </c>
      <c r="I9" s="1">
        <v>16500</v>
      </c>
      <c r="J9" s="1">
        <v>0.36476999999999998</v>
      </c>
      <c r="K9" s="1">
        <v>0</v>
      </c>
      <c r="L9" s="1">
        <f t="shared" si="4"/>
        <v>1.0882159904534605E-9</v>
      </c>
    </row>
    <row r="10" spans="1:20" x14ac:dyDescent="0.25">
      <c r="A10" s="1">
        <f t="shared" si="0"/>
        <v>2.2000000000000002</v>
      </c>
      <c r="B10" s="1">
        <v>22000</v>
      </c>
      <c r="C10" s="1">
        <v>4.3903000000000001E-6</v>
      </c>
      <c r="D10" s="1">
        <v>8.3747499999999997E-6</v>
      </c>
      <c r="E10" s="1">
        <f t="shared" si="1"/>
        <v>1.2765050000000001E-5</v>
      </c>
      <c r="F10" s="1">
        <f t="shared" si="2"/>
        <v>3.8081891408114554E-8</v>
      </c>
      <c r="H10" s="1">
        <f t="shared" si="3"/>
        <v>2.2000000000000002</v>
      </c>
      <c r="I10" s="1">
        <v>22000</v>
      </c>
      <c r="J10" s="1">
        <v>0.18239</v>
      </c>
      <c r="K10" s="1">
        <v>0</v>
      </c>
      <c r="L10" s="1">
        <f t="shared" si="4"/>
        <v>5.4412291169451073E-10</v>
      </c>
    </row>
    <row r="11" spans="1:20" x14ac:dyDescent="0.25">
      <c r="A11" s="1">
        <f t="shared" si="0"/>
        <v>2.75</v>
      </c>
      <c r="B11" s="1">
        <v>27500</v>
      </c>
      <c r="C11" s="1">
        <v>5.1469300000000002E-6</v>
      </c>
      <c r="D11" s="1">
        <v>9.2434099999999993E-6</v>
      </c>
      <c r="E11" s="1">
        <f t="shared" si="1"/>
        <v>1.439034E-5</v>
      </c>
      <c r="F11" s="1">
        <f t="shared" si="2"/>
        <v>4.2930608591885438E-8</v>
      </c>
      <c r="H11" s="1">
        <f t="shared" si="3"/>
        <v>2.75</v>
      </c>
      <c r="I11" s="1">
        <v>27500</v>
      </c>
      <c r="J11" s="1">
        <v>0</v>
      </c>
      <c r="K11" s="1">
        <v>0</v>
      </c>
      <c r="L11" s="1">
        <f t="shared" si="4"/>
        <v>0</v>
      </c>
    </row>
    <row r="12" spans="1:20" x14ac:dyDescent="0.25">
      <c r="A12" s="1">
        <f t="shared" si="0"/>
        <v>3.3</v>
      </c>
      <c r="B12" s="1">
        <v>33000</v>
      </c>
      <c r="C12" s="1">
        <v>5.0083699999999998E-6</v>
      </c>
      <c r="D12" s="1">
        <v>8.6721900000000007E-6</v>
      </c>
      <c r="E12" s="1">
        <f t="shared" si="1"/>
        <v>1.368056E-5</v>
      </c>
      <c r="F12" s="1">
        <f t="shared" si="2"/>
        <v>4.0813126491646785E-8</v>
      </c>
      <c r="H12" s="1">
        <f t="shared" si="3"/>
        <v>3.3</v>
      </c>
      <c r="I12" s="1">
        <v>33000</v>
      </c>
      <c r="J12" s="1">
        <v>0</v>
      </c>
      <c r="K12" s="1">
        <v>0</v>
      </c>
      <c r="L12" s="1">
        <f t="shared" si="4"/>
        <v>0</v>
      </c>
    </row>
    <row r="13" spans="1:20" x14ac:dyDescent="0.25">
      <c r="A13" s="1">
        <f t="shared" si="0"/>
        <v>3.85</v>
      </c>
      <c r="B13" s="1">
        <v>38500</v>
      </c>
      <c r="C13" s="1">
        <v>5.0813E-6</v>
      </c>
      <c r="D13" s="1">
        <v>1.1641799999999999E-5</v>
      </c>
      <c r="E13" s="1">
        <f t="shared" si="1"/>
        <v>1.6723099999999999E-5</v>
      </c>
      <c r="F13" s="1">
        <f t="shared" si="2"/>
        <v>4.9889916467780422E-8</v>
      </c>
      <c r="H13" s="1">
        <f t="shared" si="3"/>
        <v>3.85</v>
      </c>
      <c r="I13" s="1">
        <v>38500</v>
      </c>
      <c r="J13" s="1">
        <v>0</v>
      </c>
      <c r="K13" s="1">
        <v>0</v>
      </c>
      <c r="L13" s="1">
        <f t="shared" si="4"/>
        <v>0</v>
      </c>
    </row>
    <row r="14" spans="1:20" x14ac:dyDescent="0.25">
      <c r="A14" s="1">
        <f t="shared" si="0"/>
        <v>4.4000000000000004</v>
      </c>
      <c r="B14" s="1">
        <v>44000</v>
      </c>
      <c r="C14" s="1">
        <v>5.0266000000000003E-6</v>
      </c>
      <c r="D14" s="1">
        <v>1.10718E-5</v>
      </c>
      <c r="E14" s="1">
        <f t="shared" si="1"/>
        <v>1.6098400000000002E-5</v>
      </c>
      <c r="F14" s="1">
        <f t="shared" si="2"/>
        <v>4.8026252983293553E-8</v>
      </c>
      <c r="H14" s="1">
        <f t="shared" si="3"/>
        <v>4.4000000000000004</v>
      </c>
      <c r="I14" s="1">
        <v>44000</v>
      </c>
      <c r="J14" s="1">
        <v>0</v>
      </c>
      <c r="K14" s="1">
        <v>0</v>
      </c>
      <c r="L14" s="1">
        <f t="shared" si="4"/>
        <v>0</v>
      </c>
    </row>
    <row r="15" spans="1:20" x14ac:dyDescent="0.25">
      <c r="A15" s="1">
        <f t="shared" si="0"/>
        <v>4.95</v>
      </c>
      <c r="B15" s="1">
        <v>49500</v>
      </c>
      <c r="C15" s="1">
        <v>5.2964400000000001E-6</v>
      </c>
      <c r="D15" s="1">
        <v>1.1448600000000001E-5</v>
      </c>
      <c r="E15" s="1">
        <f t="shared" si="1"/>
        <v>1.6745039999999999E-5</v>
      </c>
      <c r="F15" s="1">
        <f t="shared" si="2"/>
        <v>4.9955369928400945E-8</v>
      </c>
      <c r="H15" s="1">
        <f t="shared" si="3"/>
        <v>4.95</v>
      </c>
      <c r="I15" s="1">
        <v>49500</v>
      </c>
      <c r="J15" s="1">
        <v>0.18239</v>
      </c>
      <c r="K15" s="1">
        <v>0</v>
      </c>
      <c r="L15" s="1">
        <f t="shared" si="4"/>
        <v>5.4412291169451073E-10</v>
      </c>
    </row>
    <row r="16" spans="1:20" x14ac:dyDescent="0.25">
      <c r="A16" s="1">
        <f t="shared" si="0"/>
        <v>5.5</v>
      </c>
      <c r="B16" s="1">
        <v>55000</v>
      </c>
      <c r="C16" s="1">
        <v>5.1979800000000003E-6</v>
      </c>
      <c r="D16" s="1">
        <v>1.2113199999999999E-5</v>
      </c>
      <c r="E16" s="1">
        <f t="shared" si="1"/>
        <v>1.731118E-5</v>
      </c>
      <c r="F16" s="1">
        <f t="shared" si="2"/>
        <v>5.1644331742243436E-8</v>
      </c>
      <c r="H16" s="1">
        <f t="shared" si="3"/>
        <v>5.5</v>
      </c>
      <c r="I16" s="1">
        <v>55000</v>
      </c>
      <c r="J16" s="1">
        <v>0.18239</v>
      </c>
      <c r="K16" s="1">
        <v>0</v>
      </c>
      <c r="L16" s="1">
        <f t="shared" si="4"/>
        <v>5.4412291169451073E-10</v>
      </c>
    </row>
    <row r="17" spans="1:12" x14ac:dyDescent="0.25">
      <c r="A17" s="1">
        <f t="shared" si="0"/>
        <v>6.05</v>
      </c>
      <c r="B17" s="1">
        <v>60500</v>
      </c>
      <c r="C17" s="1">
        <v>5.2873199999999999E-6</v>
      </c>
      <c r="D17" s="1">
        <v>1.4749800000000001E-5</v>
      </c>
      <c r="E17" s="1">
        <f t="shared" si="1"/>
        <v>2.003712E-5</v>
      </c>
      <c r="F17" s="1">
        <f t="shared" si="2"/>
        <v>5.9776610978520275E-8</v>
      </c>
      <c r="H17" s="1">
        <f t="shared" si="3"/>
        <v>6.05</v>
      </c>
      <c r="I17" s="1">
        <v>60500</v>
      </c>
      <c r="J17" s="1">
        <v>0.36476999999999998</v>
      </c>
      <c r="K17" s="1">
        <v>0</v>
      </c>
      <c r="L17" s="1">
        <f t="shared" si="4"/>
        <v>1.0882159904534605E-9</v>
      </c>
    </row>
    <row r="18" spans="1:12" x14ac:dyDescent="0.25">
      <c r="A18" s="1">
        <f t="shared" si="0"/>
        <v>6.6</v>
      </c>
      <c r="B18" s="1">
        <v>66000</v>
      </c>
      <c r="C18" s="1">
        <v>5.3821300000000001E-6</v>
      </c>
      <c r="D18" s="1">
        <v>1.4686500000000001E-5</v>
      </c>
      <c r="E18" s="1">
        <f t="shared" si="1"/>
        <v>2.0068630000000002E-5</v>
      </c>
      <c r="F18" s="1">
        <f t="shared" si="2"/>
        <v>5.9870614558472549E-8</v>
      </c>
      <c r="H18" s="1">
        <f t="shared" si="3"/>
        <v>6.6</v>
      </c>
      <c r="I18" s="1">
        <v>66000</v>
      </c>
      <c r="J18" s="1">
        <v>0</v>
      </c>
      <c r="K18" s="1">
        <v>0</v>
      </c>
      <c r="L18" s="1">
        <f t="shared" si="4"/>
        <v>0</v>
      </c>
    </row>
    <row r="19" spans="1:12" x14ac:dyDescent="0.25">
      <c r="A19" s="1">
        <f t="shared" si="0"/>
        <v>7.15</v>
      </c>
      <c r="B19" s="1">
        <v>71500</v>
      </c>
      <c r="C19" s="1">
        <v>5.33837E-6</v>
      </c>
      <c r="D19" s="1">
        <v>1.33164E-5</v>
      </c>
      <c r="E19" s="1">
        <f t="shared" si="1"/>
        <v>1.8654770000000001E-5</v>
      </c>
      <c r="F19" s="1">
        <f t="shared" si="2"/>
        <v>5.5652655131264909E-8</v>
      </c>
      <c r="H19" s="1">
        <f t="shared" si="3"/>
        <v>7.15</v>
      </c>
      <c r="I19" s="1">
        <v>71500</v>
      </c>
      <c r="J19" s="1">
        <v>0.18239</v>
      </c>
      <c r="K19" s="1">
        <v>0</v>
      </c>
      <c r="L19" s="1">
        <f t="shared" si="4"/>
        <v>5.4412291169451073E-10</v>
      </c>
    </row>
    <row r="20" spans="1:12" x14ac:dyDescent="0.25">
      <c r="A20" s="1">
        <f t="shared" si="0"/>
        <v>7.7</v>
      </c>
      <c r="B20" s="1">
        <v>77000</v>
      </c>
      <c r="C20" s="1">
        <v>5.4404700000000003E-6</v>
      </c>
      <c r="D20" s="1">
        <v>1.06393E-5</v>
      </c>
      <c r="E20" s="1">
        <f t="shared" si="1"/>
        <v>1.6079769999999999E-5</v>
      </c>
      <c r="F20" s="1">
        <f t="shared" si="2"/>
        <v>4.7970674224343673E-8</v>
      </c>
      <c r="H20" s="1">
        <f t="shared" si="3"/>
        <v>7.7</v>
      </c>
      <c r="I20" s="1">
        <v>77000</v>
      </c>
      <c r="J20" s="1">
        <v>0.72953999999999997</v>
      </c>
      <c r="K20" s="1">
        <v>0</v>
      </c>
      <c r="L20" s="1">
        <f t="shared" si="4"/>
        <v>2.1764319809069211E-9</v>
      </c>
    </row>
    <row r="21" spans="1:12" x14ac:dyDescent="0.25">
      <c r="A21" s="1">
        <f t="shared" si="0"/>
        <v>8.25</v>
      </c>
      <c r="B21" s="1">
        <v>82500</v>
      </c>
      <c r="C21" s="1">
        <v>5.5480400000000003E-6</v>
      </c>
      <c r="D21" s="1">
        <v>1.09112E-5</v>
      </c>
      <c r="E21" s="1">
        <f t="shared" si="1"/>
        <v>1.6459239999999999E-5</v>
      </c>
      <c r="F21" s="1">
        <f t="shared" si="2"/>
        <v>4.910274463007159E-8</v>
      </c>
      <c r="H21" s="1">
        <f t="shared" si="3"/>
        <v>8.25</v>
      </c>
      <c r="I21" s="1">
        <v>82500</v>
      </c>
      <c r="J21" s="1">
        <v>0.36476999999999998</v>
      </c>
      <c r="K21" s="1">
        <v>0</v>
      </c>
      <c r="L21" s="1">
        <f t="shared" si="4"/>
        <v>1.0882159904534605E-9</v>
      </c>
    </row>
    <row r="22" spans="1:12" x14ac:dyDescent="0.25">
      <c r="A22" s="1">
        <f t="shared" si="0"/>
        <v>8.8000000000000007</v>
      </c>
      <c r="B22" s="1">
        <v>88000</v>
      </c>
      <c r="C22" s="1">
        <v>5.6683700000000002E-6</v>
      </c>
      <c r="D22" s="1">
        <v>1.02801E-5</v>
      </c>
      <c r="E22" s="1">
        <f t="shared" si="1"/>
        <v>1.5948469999999999E-5</v>
      </c>
      <c r="F22" s="1">
        <f t="shared" si="2"/>
        <v>4.757896778042958E-8</v>
      </c>
      <c r="H22" s="1">
        <f t="shared" si="3"/>
        <v>8.8000000000000007</v>
      </c>
      <c r="I22" s="1">
        <v>88000</v>
      </c>
      <c r="J22" s="1">
        <v>0.36476999999999998</v>
      </c>
      <c r="K22" s="1">
        <v>0</v>
      </c>
      <c r="L22" s="1">
        <f t="shared" si="4"/>
        <v>1.0882159904534605E-9</v>
      </c>
    </row>
    <row r="23" spans="1:12" x14ac:dyDescent="0.25">
      <c r="A23" s="1">
        <f t="shared" si="0"/>
        <v>9.35</v>
      </c>
      <c r="B23" s="1">
        <v>93500</v>
      </c>
      <c r="C23" s="1">
        <v>5.8197000000000004E-6</v>
      </c>
      <c r="D23" s="1">
        <v>1.7248599999999999E-5</v>
      </c>
      <c r="E23" s="1">
        <f t="shared" si="1"/>
        <v>2.3068300000000001E-5</v>
      </c>
      <c r="F23" s="1">
        <f t="shared" si="2"/>
        <v>6.8819510739856796E-8</v>
      </c>
      <c r="H23" s="1">
        <f t="shared" si="3"/>
        <v>9.35</v>
      </c>
      <c r="I23" s="1">
        <v>93500</v>
      </c>
      <c r="J23" s="1">
        <v>0</v>
      </c>
      <c r="K23" s="1">
        <v>0</v>
      </c>
      <c r="L23" s="1">
        <f t="shared" si="4"/>
        <v>0</v>
      </c>
    </row>
    <row r="24" spans="1:12" x14ac:dyDescent="0.25">
      <c r="A24" s="1">
        <f t="shared" si="0"/>
        <v>9.9</v>
      </c>
      <c r="B24" s="1">
        <v>99000</v>
      </c>
      <c r="C24" s="1">
        <v>5.8889800000000002E-6</v>
      </c>
      <c r="D24" s="1">
        <v>1.21814E-5</v>
      </c>
      <c r="E24" s="1">
        <f t="shared" si="1"/>
        <v>1.8070380000000001E-5</v>
      </c>
      <c r="F24" s="1">
        <f t="shared" si="2"/>
        <v>5.3909248210023873E-8</v>
      </c>
      <c r="H24" s="1">
        <f t="shared" si="3"/>
        <v>9.9</v>
      </c>
      <c r="I24" s="1">
        <v>99000</v>
      </c>
      <c r="J24" s="1">
        <v>0.72953999999999997</v>
      </c>
      <c r="K24" s="1">
        <v>0</v>
      </c>
      <c r="L24" s="1">
        <f t="shared" si="4"/>
        <v>2.1764319809069211E-9</v>
      </c>
    </row>
    <row r="25" spans="1:12" x14ac:dyDescent="0.25">
      <c r="A25" s="1">
        <f t="shared" si="0"/>
        <v>10.45</v>
      </c>
      <c r="B25" s="1">
        <v>104500</v>
      </c>
      <c r="C25" s="1">
        <v>5.8342799999999996E-6</v>
      </c>
      <c r="D25" s="1">
        <v>1.29956E-5</v>
      </c>
      <c r="E25" s="1">
        <f t="shared" si="1"/>
        <v>1.8829879999999999E-5</v>
      </c>
      <c r="F25" s="1">
        <f t="shared" si="2"/>
        <v>5.6175059665871116E-8</v>
      </c>
      <c r="H25" s="1">
        <f t="shared" si="3"/>
        <v>10.45</v>
      </c>
      <c r="I25" s="1">
        <v>104500</v>
      </c>
      <c r="J25" s="1">
        <v>0</v>
      </c>
      <c r="K25" s="1">
        <v>0</v>
      </c>
      <c r="L25" s="1">
        <f t="shared" si="4"/>
        <v>0</v>
      </c>
    </row>
    <row r="26" spans="1:12" x14ac:dyDescent="0.25">
      <c r="A26" s="1">
        <f t="shared" si="0"/>
        <v>11</v>
      </c>
      <c r="B26" s="1">
        <v>110000</v>
      </c>
      <c r="C26" s="1">
        <v>5.7649999999999999E-6</v>
      </c>
      <c r="D26" s="1">
        <v>1.6428900000000001E-5</v>
      </c>
      <c r="E26" s="1">
        <f t="shared" si="1"/>
        <v>2.2193900000000001E-5</v>
      </c>
      <c r="F26" s="1">
        <f t="shared" si="2"/>
        <v>6.6210918854415266E-8</v>
      </c>
      <c r="H26" s="1">
        <f t="shared" si="3"/>
        <v>11</v>
      </c>
      <c r="I26" s="1">
        <v>110000</v>
      </c>
      <c r="J26" s="1">
        <v>0</v>
      </c>
      <c r="K26" s="1">
        <v>0</v>
      </c>
      <c r="L26" s="1">
        <f t="shared" si="4"/>
        <v>0</v>
      </c>
    </row>
    <row r="27" spans="1:12" x14ac:dyDescent="0.25">
      <c r="A27" s="1">
        <f t="shared" si="0"/>
        <v>11.55</v>
      </c>
      <c r="B27" s="1">
        <v>115500</v>
      </c>
      <c r="C27" s="1">
        <v>5.9910800000000004E-6</v>
      </c>
      <c r="D27" s="1">
        <v>1.34353E-5</v>
      </c>
      <c r="E27" s="1">
        <f t="shared" si="1"/>
        <v>1.9426379999999999E-5</v>
      </c>
      <c r="F27" s="1">
        <f t="shared" si="2"/>
        <v>5.7954594272076368E-8</v>
      </c>
      <c r="H27" s="1">
        <f t="shared" si="3"/>
        <v>11.55</v>
      </c>
      <c r="I27" s="1">
        <v>115500</v>
      </c>
      <c r="J27" s="1">
        <v>0.36476999999999998</v>
      </c>
      <c r="K27" s="1">
        <v>0</v>
      </c>
      <c r="L27" s="1">
        <f t="shared" si="4"/>
        <v>1.0882159904534605E-9</v>
      </c>
    </row>
    <row r="28" spans="1:12" x14ac:dyDescent="0.25">
      <c r="A28" s="1">
        <f t="shared" si="0"/>
        <v>12.1</v>
      </c>
      <c r="B28" s="1">
        <v>121000</v>
      </c>
      <c r="C28" s="1">
        <v>6.0001999999999997E-6</v>
      </c>
      <c r="D28" s="1">
        <v>1.1416E-5</v>
      </c>
      <c r="E28" s="1">
        <f t="shared" si="1"/>
        <v>1.7416200000000001E-5</v>
      </c>
      <c r="F28" s="1">
        <f t="shared" si="2"/>
        <v>5.1957637231503575E-8</v>
      </c>
      <c r="H28" s="1">
        <f t="shared" si="3"/>
        <v>12.1</v>
      </c>
      <c r="I28" s="1">
        <v>121000</v>
      </c>
      <c r="J28" s="1">
        <v>0</v>
      </c>
      <c r="K28" s="1">
        <v>0</v>
      </c>
      <c r="L28" s="1">
        <f t="shared" si="4"/>
        <v>0</v>
      </c>
    </row>
    <row r="29" spans="1:12" x14ac:dyDescent="0.25">
      <c r="A29" s="1">
        <f t="shared" si="0"/>
        <v>12.65</v>
      </c>
      <c r="B29" s="1">
        <v>126500</v>
      </c>
      <c r="C29" s="1">
        <v>6.0184300000000002E-6</v>
      </c>
      <c r="D29" s="1">
        <v>1.2203400000000001E-5</v>
      </c>
      <c r="E29" s="1">
        <f t="shared" si="1"/>
        <v>1.8221830000000001E-5</v>
      </c>
      <c r="F29" s="1">
        <f t="shared" si="2"/>
        <v>5.436106801909307E-8</v>
      </c>
      <c r="H29" s="1">
        <f t="shared" si="3"/>
        <v>12.65</v>
      </c>
      <c r="I29" s="1">
        <v>126500</v>
      </c>
      <c r="J29" s="1">
        <v>0.36476999999999998</v>
      </c>
      <c r="K29" s="1">
        <v>0</v>
      </c>
      <c r="L29" s="1">
        <f t="shared" si="4"/>
        <v>1.0882159904534605E-9</v>
      </c>
    </row>
    <row r="30" spans="1:12" x14ac:dyDescent="0.25">
      <c r="A30" s="1">
        <f t="shared" si="0"/>
        <v>13.2</v>
      </c>
      <c r="B30" s="1">
        <v>132000</v>
      </c>
      <c r="C30" s="1">
        <v>6.4049500000000004E-6</v>
      </c>
      <c r="D30" s="1">
        <v>1.10672E-5</v>
      </c>
      <c r="E30" s="1">
        <f t="shared" si="1"/>
        <v>1.7472150000000002E-5</v>
      </c>
      <c r="F30" s="1">
        <f t="shared" si="2"/>
        <v>5.2124552505966583E-8</v>
      </c>
      <c r="H30" s="1">
        <f t="shared" si="3"/>
        <v>13.2</v>
      </c>
      <c r="I30" s="1">
        <v>132000</v>
      </c>
      <c r="J30" s="1">
        <v>0.54715999999999998</v>
      </c>
      <c r="K30" s="1">
        <v>0</v>
      </c>
      <c r="L30" s="1">
        <f t="shared" si="4"/>
        <v>1.6323389021479712E-9</v>
      </c>
    </row>
    <row r="31" spans="1:12" x14ac:dyDescent="0.25">
      <c r="A31" s="1">
        <f t="shared" si="0"/>
        <v>13.75</v>
      </c>
      <c r="B31" s="1">
        <v>137500</v>
      </c>
      <c r="C31" s="1">
        <v>6.4869999999999999E-6</v>
      </c>
      <c r="D31" s="1">
        <v>1.5885000000000001E-5</v>
      </c>
      <c r="E31" s="1">
        <f t="shared" si="1"/>
        <v>2.2372000000000002E-5</v>
      </c>
      <c r="F31" s="1">
        <f t="shared" si="2"/>
        <v>6.6742243436754167E-8</v>
      </c>
      <c r="H31" s="1">
        <f t="shared" si="3"/>
        <v>13.75</v>
      </c>
      <c r="I31" s="1">
        <v>137500</v>
      </c>
      <c r="J31" s="1">
        <v>0</v>
      </c>
      <c r="K31" s="1">
        <v>0</v>
      </c>
      <c r="L31" s="1">
        <f t="shared" si="4"/>
        <v>0</v>
      </c>
    </row>
    <row r="32" spans="1:12" x14ac:dyDescent="0.25">
      <c r="A32" s="1">
        <f t="shared" si="0"/>
        <v>14.3</v>
      </c>
      <c r="B32" s="1">
        <v>143000</v>
      </c>
      <c r="C32" s="1">
        <v>6.5708599999999998E-6</v>
      </c>
      <c r="D32" s="1">
        <v>1.4937600000000001E-5</v>
      </c>
      <c r="E32" s="1">
        <f t="shared" si="1"/>
        <v>2.150846E-5</v>
      </c>
      <c r="F32" s="1">
        <f t="shared" si="2"/>
        <v>6.4166050119331738E-8</v>
      </c>
      <c r="H32" s="1">
        <f t="shared" si="3"/>
        <v>14.3</v>
      </c>
      <c r="I32" s="1">
        <v>143000</v>
      </c>
      <c r="J32" s="1">
        <v>0.36476999999999998</v>
      </c>
      <c r="K32" s="1">
        <v>0</v>
      </c>
      <c r="L32" s="1">
        <f t="shared" si="4"/>
        <v>1.0882159904534605E-9</v>
      </c>
    </row>
    <row r="33" spans="1:12" x14ac:dyDescent="0.25">
      <c r="A33" s="1">
        <f t="shared" si="0"/>
        <v>14.85</v>
      </c>
      <c r="B33" s="1">
        <v>148500</v>
      </c>
      <c r="C33" s="1">
        <v>6.3210799999999998E-6</v>
      </c>
      <c r="D33" s="1">
        <v>1.4267000000000001E-5</v>
      </c>
      <c r="E33" s="1">
        <f t="shared" si="1"/>
        <v>2.0588079999999999E-5</v>
      </c>
      <c r="F33" s="1">
        <f t="shared" si="2"/>
        <v>6.1420286396181366E-8</v>
      </c>
      <c r="H33" s="1">
        <f t="shared" si="3"/>
        <v>14.85</v>
      </c>
      <c r="I33" s="1">
        <v>148500</v>
      </c>
      <c r="J33" s="1">
        <v>0.18239</v>
      </c>
      <c r="K33" s="1">
        <v>0</v>
      </c>
      <c r="L33" s="1">
        <f t="shared" si="4"/>
        <v>5.4412291169451073E-10</v>
      </c>
    </row>
    <row r="34" spans="1:12" x14ac:dyDescent="0.25">
      <c r="A34" s="1">
        <f t="shared" si="0"/>
        <v>15.4</v>
      </c>
      <c r="B34" s="1">
        <v>154000</v>
      </c>
      <c r="C34" s="1">
        <v>6.6820800000000002E-6</v>
      </c>
      <c r="D34" s="1">
        <v>1.6370000000000001E-5</v>
      </c>
      <c r="E34" s="1">
        <f t="shared" si="1"/>
        <v>2.3052080000000001E-5</v>
      </c>
      <c r="F34" s="1">
        <f t="shared" si="2"/>
        <v>6.8771121718377076E-8</v>
      </c>
      <c r="H34" s="1">
        <f t="shared" si="3"/>
        <v>15.4</v>
      </c>
      <c r="I34" s="1">
        <v>154000</v>
      </c>
      <c r="J34" s="1">
        <v>0.91193000000000002</v>
      </c>
      <c r="K34" s="1">
        <v>0</v>
      </c>
      <c r="L34" s="1">
        <f t="shared" si="4"/>
        <v>2.7205548926014315E-9</v>
      </c>
    </row>
    <row r="35" spans="1:12" x14ac:dyDescent="0.25">
      <c r="A35" s="1">
        <f t="shared" si="0"/>
        <v>15.95</v>
      </c>
      <c r="B35" s="1">
        <v>159500</v>
      </c>
      <c r="C35" s="1">
        <v>6.6200899999999997E-6</v>
      </c>
      <c r="D35" s="1">
        <v>1.30473E-5</v>
      </c>
      <c r="E35" s="1">
        <f t="shared" si="1"/>
        <v>1.966739E-5</v>
      </c>
      <c r="F35" s="1">
        <f t="shared" si="2"/>
        <v>5.8673597852028642E-8</v>
      </c>
      <c r="H35" s="1">
        <f t="shared" si="3"/>
        <v>15.95</v>
      </c>
      <c r="I35" s="1">
        <v>159500</v>
      </c>
      <c r="J35" s="1">
        <v>0.36476999999999998</v>
      </c>
      <c r="K35" s="1">
        <v>0</v>
      </c>
      <c r="L35" s="1">
        <f t="shared" si="4"/>
        <v>1.0882159904534605E-9</v>
      </c>
    </row>
    <row r="36" spans="1:12" x14ac:dyDescent="0.25">
      <c r="A36" s="1">
        <f t="shared" si="0"/>
        <v>16.5</v>
      </c>
      <c r="B36" s="1">
        <v>165000</v>
      </c>
      <c r="C36" s="1">
        <v>6.87352E-6</v>
      </c>
      <c r="D36" s="1">
        <v>1.23952E-5</v>
      </c>
      <c r="E36" s="1">
        <f t="shared" si="1"/>
        <v>1.9268719999999999E-5</v>
      </c>
      <c r="F36" s="1">
        <f t="shared" si="2"/>
        <v>5.7484248210023858E-8</v>
      </c>
      <c r="H36" s="1">
        <f t="shared" si="3"/>
        <v>16.5</v>
      </c>
      <c r="I36" s="1">
        <v>165000</v>
      </c>
      <c r="J36" s="1">
        <v>0.36476999999999998</v>
      </c>
      <c r="K36" s="1">
        <v>0</v>
      </c>
      <c r="L36" s="1">
        <f t="shared" si="4"/>
        <v>1.0882159904534605E-9</v>
      </c>
    </row>
    <row r="37" spans="1:12" x14ac:dyDescent="0.25">
      <c r="A37" s="1">
        <f t="shared" si="0"/>
        <v>17.05</v>
      </c>
      <c r="B37" s="1">
        <v>170500</v>
      </c>
      <c r="C37" s="1">
        <v>6.9920299999999997E-6</v>
      </c>
      <c r="D37" s="1">
        <v>1.5540500000000001E-5</v>
      </c>
      <c r="E37" s="1">
        <f t="shared" si="1"/>
        <v>2.253253E-5</v>
      </c>
      <c r="F37" s="1">
        <f t="shared" si="2"/>
        <v>6.7221151551312644E-8</v>
      </c>
      <c r="H37" s="1">
        <f t="shared" si="3"/>
        <v>17.05</v>
      </c>
      <c r="I37" s="1">
        <v>170500</v>
      </c>
      <c r="J37" s="1">
        <v>0.91193000000000002</v>
      </c>
      <c r="K37" s="1">
        <v>0</v>
      </c>
      <c r="L37" s="1">
        <f t="shared" si="4"/>
        <v>2.7205548926014315E-9</v>
      </c>
    </row>
    <row r="38" spans="1:12" x14ac:dyDescent="0.25">
      <c r="A38" s="1">
        <f t="shared" si="0"/>
        <v>17.600000000000001</v>
      </c>
      <c r="B38" s="1">
        <v>176000</v>
      </c>
      <c r="C38" s="1">
        <v>7.0576599999999999E-6</v>
      </c>
      <c r="D38" s="1">
        <v>1.63433E-5</v>
      </c>
      <c r="E38" s="1">
        <f t="shared" si="1"/>
        <v>2.3400959999999999E-5</v>
      </c>
      <c r="F38" s="1">
        <f t="shared" si="2"/>
        <v>6.9811933174224339E-8</v>
      </c>
      <c r="H38" s="1">
        <f t="shared" si="3"/>
        <v>17.600000000000001</v>
      </c>
      <c r="I38" s="1">
        <v>176000</v>
      </c>
      <c r="J38" s="1">
        <v>0.72953999999999997</v>
      </c>
      <c r="K38" s="1">
        <v>0</v>
      </c>
      <c r="L38" s="1">
        <f t="shared" si="4"/>
        <v>2.1764319809069211E-9</v>
      </c>
    </row>
    <row r="39" spans="1:12" x14ac:dyDescent="0.25">
      <c r="A39" s="1">
        <f t="shared" si="0"/>
        <v>18.149999999999999</v>
      </c>
      <c r="B39" s="1">
        <v>181500</v>
      </c>
      <c r="C39" s="1">
        <v>7.1925799999999998E-6</v>
      </c>
      <c r="D39" s="1">
        <v>1.55536E-5</v>
      </c>
      <c r="E39" s="1">
        <f t="shared" si="1"/>
        <v>2.2746180000000001E-5</v>
      </c>
      <c r="F39" s="1">
        <f t="shared" si="2"/>
        <v>6.7858532219570404E-8</v>
      </c>
      <c r="H39" s="1">
        <f t="shared" si="3"/>
        <v>18.149999999999999</v>
      </c>
      <c r="I39" s="1">
        <v>181500</v>
      </c>
      <c r="J39" s="1">
        <v>1.0943000000000001</v>
      </c>
      <c r="K39" s="1">
        <v>0</v>
      </c>
      <c r="L39" s="1">
        <f t="shared" si="4"/>
        <v>3.2646181384248205E-9</v>
      </c>
    </row>
    <row r="40" spans="1:12" x14ac:dyDescent="0.25">
      <c r="A40" s="1">
        <f t="shared" si="0"/>
        <v>18.7</v>
      </c>
      <c r="B40" s="1">
        <v>187000</v>
      </c>
      <c r="C40" s="1">
        <v>7.5134599999999999E-6</v>
      </c>
      <c r="D40" s="1">
        <v>1.68748E-5</v>
      </c>
      <c r="E40" s="1">
        <f t="shared" si="1"/>
        <v>2.4388259999999999E-5</v>
      </c>
      <c r="F40" s="1">
        <f t="shared" si="2"/>
        <v>7.2757338902147968E-8</v>
      </c>
      <c r="H40" s="1">
        <f t="shared" si="3"/>
        <v>18.7</v>
      </c>
      <c r="I40" s="1">
        <v>187000</v>
      </c>
      <c r="J40" s="1">
        <v>1.0943000000000001</v>
      </c>
      <c r="K40" s="1">
        <v>0</v>
      </c>
      <c r="L40" s="1">
        <f t="shared" si="4"/>
        <v>3.2646181384248205E-9</v>
      </c>
    </row>
    <row r="41" spans="1:12" x14ac:dyDescent="0.25">
      <c r="A41" s="1">
        <f t="shared" si="0"/>
        <v>19.25</v>
      </c>
      <c r="B41" s="1">
        <v>192500</v>
      </c>
      <c r="C41" s="1">
        <v>7.45694E-6</v>
      </c>
      <c r="D41" s="1">
        <v>1.87691E-5</v>
      </c>
      <c r="E41" s="1">
        <f t="shared" si="1"/>
        <v>2.6226039999999999E-5</v>
      </c>
      <c r="F41" s="1">
        <f t="shared" si="2"/>
        <v>7.8239976133651526E-8</v>
      </c>
      <c r="H41" s="1">
        <f t="shared" si="3"/>
        <v>19.25</v>
      </c>
      <c r="I41" s="1">
        <v>192500</v>
      </c>
      <c r="J41" s="1">
        <v>0.72953999999999997</v>
      </c>
      <c r="K41" s="1">
        <v>0</v>
      </c>
      <c r="L41" s="1">
        <f t="shared" si="4"/>
        <v>2.1764319809069211E-9</v>
      </c>
    </row>
    <row r="42" spans="1:12" x14ac:dyDescent="0.25">
      <c r="A42" s="1">
        <f t="shared" si="0"/>
        <v>19.8</v>
      </c>
      <c r="B42" s="1">
        <v>198000</v>
      </c>
      <c r="C42" s="1">
        <v>7.67938E-6</v>
      </c>
      <c r="D42" s="1">
        <v>1.6289800000000001E-5</v>
      </c>
      <c r="E42" s="1">
        <f t="shared" si="1"/>
        <v>2.3969179999999999E-5</v>
      </c>
      <c r="F42" s="1">
        <f t="shared" si="2"/>
        <v>7.1507100238663469E-8</v>
      </c>
      <c r="H42" s="1">
        <f t="shared" si="3"/>
        <v>19.8</v>
      </c>
      <c r="I42" s="1">
        <v>198000</v>
      </c>
      <c r="J42" s="1">
        <v>0.54715999999999998</v>
      </c>
      <c r="K42" s="1">
        <v>0</v>
      </c>
      <c r="L42" s="1">
        <f t="shared" si="4"/>
        <v>1.6323389021479712E-9</v>
      </c>
    </row>
    <row r="43" spans="1:12" x14ac:dyDescent="0.25">
      <c r="A43" s="1">
        <f t="shared" si="0"/>
        <v>20.350000000000001</v>
      </c>
      <c r="B43" s="1">
        <v>203500</v>
      </c>
      <c r="C43" s="1">
        <v>7.6392699999999995E-6</v>
      </c>
      <c r="D43" s="1">
        <v>1.64469E-5</v>
      </c>
      <c r="E43" s="1">
        <f t="shared" si="1"/>
        <v>2.4086169999999998E-5</v>
      </c>
      <c r="F43" s="1">
        <f t="shared" si="2"/>
        <v>7.1856115751789954E-8</v>
      </c>
      <c r="H43" s="1">
        <f t="shared" si="3"/>
        <v>20.350000000000001</v>
      </c>
      <c r="I43" s="1">
        <v>203500</v>
      </c>
      <c r="J43" s="1">
        <v>1.4591000000000001</v>
      </c>
      <c r="K43" s="1">
        <v>0</v>
      </c>
      <c r="L43" s="1">
        <f t="shared" si="4"/>
        <v>4.352923627684964E-9</v>
      </c>
    </row>
    <row r="44" spans="1:12" x14ac:dyDescent="0.25">
      <c r="A44" s="1">
        <f t="shared" si="0"/>
        <v>20.9</v>
      </c>
      <c r="B44" s="1">
        <v>209000</v>
      </c>
      <c r="C44" s="1">
        <v>8.0622500000000006E-6</v>
      </c>
      <c r="D44" s="1">
        <v>1.5330999999999999E-5</v>
      </c>
      <c r="E44" s="1">
        <f t="shared" si="1"/>
        <v>2.3393250000000002E-5</v>
      </c>
      <c r="F44" s="1">
        <f t="shared" si="2"/>
        <v>6.9788931980906907E-8</v>
      </c>
      <c r="H44" s="1">
        <f t="shared" si="3"/>
        <v>20.9</v>
      </c>
      <c r="I44" s="1">
        <v>209000</v>
      </c>
      <c r="J44" s="1">
        <v>0.91193000000000002</v>
      </c>
      <c r="K44" s="1">
        <v>0</v>
      </c>
      <c r="L44" s="1">
        <f t="shared" si="4"/>
        <v>2.7205548926014315E-9</v>
      </c>
    </row>
    <row r="45" spans="1:12" x14ac:dyDescent="0.25">
      <c r="A45" s="1">
        <f t="shared" si="0"/>
        <v>21.45</v>
      </c>
      <c r="B45" s="1">
        <v>214500</v>
      </c>
      <c r="C45" s="1">
        <v>8.3576100000000001E-6</v>
      </c>
      <c r="D45" s="1">
        <v>1.5500999999999999E-5</v>
      </c>
      <c r="E45" s="1">
        <f t="shared" si="1"/>
        <v>2.385861E-5</v>
      </c>
      <c r="F45" s="1">
        <f t="shared" si="2"/>
        <v>7.1177237470167054E-8</v>
      </c>
      <c r="H45" s="1">
        <f t="shared" si="3"/>
        <v>21.45</v>
      </c>
      <c r="I45" s="1">
        <v>214500</v>
      </c>
      <c r="J45" s="1">
        <v>2.1886000000000001</v>
      </c>
      <c r="K45" s="1">
        <v>0</v>
      </c>
      <c r="L45" s="1">
        <f t="shared" si="4"/>
        <v>6.5292362768496409E-9</v>
      </c>
    </row>
    <row r="46" spans="1:12" x14ac:dyDescent="0.25">
      <c r="A46" s="1">
        <f t="shared" si="0"/>
        <v>22</v>
      </c>
      <c r="B46" s="1">
        <v>220000</v>
      </c>
      <c r="C46" s="1">
        <v>8.4360099999999992E-6</v>
      </c>
      <c r="D46" s="1">
        <v>2.4261100000000001E-5</v>
      </c>
      <c r="E46" s="1">
        <f t="shared" si="1"/>
        <v>3.2697109999999996E-5</v>
      </c>
      <c r="F46" s="1">
        <f t="shared" si="2"/>
        <v>9.7545077565632448E-8</v>
      </c>
      <c r="H46" s="1">
        <f t="shared" si="3"/>
        <v>22</v>
      </c>
      <c r="I46" s="1">
        <v>220000</v>
      </c>
      <c r="J46" s="1">
        <v>1.0943000000000001</v>
      </c>
      <c r="K46" s="1">
        <v>0</v>
      </c>
      <c r="L46" s="1">
        <f t="shared" si="4"/>
        <v>3.2646181384248205E-9</v>
      </c>
    </row>
    <row r="47" spans="1:12" x14ac:dyDescent="0.25">
      <c r="A47" s="1">
        <f t="shared" si="0"/>
        <v>22.55</v>
      </c>
      <c r="B47" s="1">
        <v>225500</v>
      </c>
      <c r="C47" s="1">
        <v>8.3977200000000006E-6</v>
      </c>
      <c r="D47" s="1">
        <v>1.80522E-5</v>
      </c>
      <c r="E47" s="1">
        <f t="shared" si="1"/>
        <v>2.644992E-5</v>
      </c>
      <c r="F47" s="1">
        <f t="shared" si="2"/>
        <v>7.8907875894988066E-8</v>
      </c>
      <c r="H47" s="1">
        <f t="shared" si="3"/>
        <v>22.55</v>
      </c>
      <c r="I47" s="1">
        <v>225500</v>
      </c>
      <c r="J47" s="1">
        <v>2.0062000000000002</v>
      </c>
      <c r="K47" s="1">
        <v>0</v>
      </c>
      <c r="L47" s="1">
        <f t="shared" si="4"/>
        <v>5.9850835322195688E-9</v>
      </c>
    </row>
    <row r="48" spans="1:12" x14ac:dyDescent="0.25">
      <c r="A48" s="1">
        <f t="shared" si="0"/>
        <v>23.1</v>
      </c>
      <c r="B48" s="1">
        <v>231000</v>
      </c>
      <c r="C48" s="1">
        <v>9.1817099999999995E-6</v>
      </c>
      <c r="D48" s="1">
        <v>1.9726699999999999E-5</v>
      </c>
      <c r="E48" s="1">
        <f t="shared" si="1"/>
        <v>2.8908409999999997E-5</v>
      </c>
      <c r="F48" s="1">
        <f t="shared" si="2"/>
        <v>8.6242273269689715E-8</v>
      </c>
      <c r="H48" s="1">
        <f t="shared" si="3"/>
        <v>23.1</v>
      </c>
      <c r="I48" s="1">
        <v>231000</v>
      </c>
      <c r="J48" s="1">
        <v>3.2829000000000002</v>
      </c>
      <c r="K48" s="1">
        <v>0</v>
      </c>
      <c r="L48" s="1">
        <f t="shared" si="4"/>
        <v>9.7938544152744622E-9</v>
      </c>
    </row>
    <row r="49" spans="1:12" x14ac:dyDescent="0.25">
      <c r="A49" s="1">
        <f t="shared" si="0"/>
        <v>23.65</v>
      </c>
      <c r="B49" s="1">
        <v>236500</v>
      </c>
      <c r="C49" s="1">
        <v>9.2801600000000003E-6</v>
      </c>
      <c r="D49" s="1">
        <v>1.7422200000000001E-5</v>
      </c>
      <c r="E49" s="1">
        <f t="shared" si="1"/>
        <v>2.6702360000000001E-5</v>
      </c>
      <c r="F49" s="1">
        <f t="shared" si="2"/>
        <v>7.9660978520286389E-8</v>
      </c>
      <c r="H49" s="1">
        <f t="shared" si="3"/>
        <v>23.65</v>
      </c>
      <c r="I49" s="1">
        <v>236500</v>
      </c>
      <c r="J49" s="1">
        <v>4.0125000000000002</v>
      </c>
      <c r="K49" s="1">
        <v>0</v>
      </c>
      <c r="L49" s="1">
        <f t="shared" si="4"/>
        <v>1.1970465393794749E-8</v>
      </c>
    </row>
    <row r="50" spans="1:12" x14ac:dyDescent="0.25">
      <c r="A50" s="1">
        <f t="shared" si="0"/>
        <v>24.2</v>
      </c>
      <c r="B50" s="1">
        <v>242000</v>
      </c>
      <c r="C50" s="1">
        <v>9.1069499999999993E-6</v>
      </c>
      <c r="D50" s="1">
        <v>1.8714899999999999E-5</v>
      </c>
      <c r="E50" s="1">
        <f t="shared" si="1"/>
        <v>2.7821849999999999E-5</v>
      </c>
      <c r="F50" s="1">
        <f t="shared" si="2"/>
        <v>8.3000745823389007E-8</v>
      </c>
      <c r="H50" s="1">
        <f t="shared" si="3"/>
        <v>24.2</v>
      </c>
      <c r="I50" s="1">
        <v>242000</v>
      </c>
      <c r="J50" s="1">
        <v>2.7357999999999998</v>
      </c>
      <c r="K50" s="1">
        <v>0</v>
      </c>
      <c r="L50" s="1">
        <f t="shared" si="4"/>
        <v>8.1616945107398558E-9</v>
      </c>
    </row>
    <row r="51" spans="1:12" x14ac:dyDescent="0.25">
      <c r="A51" s="1">
        <f t="shared" si="0"/>
        <v>24.75</v>
      </c>
      <c r="B51" s="1">
        <v>247500</v>
      </c>
      <c r="C51" s="1">
        <v>1.07041E-5</v>
      </c>
      <c r="D51" s="1">
        <v>1.89607E-5</v>
      </c>
      <c r="E51" s="1">
        <f t="shared" si="1"/>
        <v>2.9664800000000001E-5</v>
      </c>
      <c r="F51" s="1">
        <f t="shared" si="2"/>
        <v>8.8498806682577558E-8</v>
      </c>
      <c r="H51" s="1">
        <f t="shared" si="3"/>
        <v>24.75</v>
      </c>
      <c r="I51" s="1">
        <v>247500</v>
      </c>
      <c r="J51" s="1">
        <v>3.6476999999999999</v>
      </c>
      <c r="K51" s="1">
        <v>0</v>
      </c>
      <c r="L51" s="1">
        <f t="shared" si="4"/>
        <v>1.0882159904534605E-8</v>
      </c>
    </row>
    <row r="52" spans="1:12" x14ac:dyDescent="0.25">
      <c r="A52" s="1">
        <f t="shared" si="0"/>
        <v>25.3</v>
      </c>
      <c r="B52" s="1">
        <v>253000</v>
      </c>
      <c r="C52" s="1">
        <v>1.11253E-5</v>
      </c>
      <c r="D52" s="1">
        <v>2.1525499999999999E-5</v>
      </c>
      <c r="E52" s="1">
        <f t="shared" si="1"/>
        <v>3.2650799999999996E-5</v>
      </c>
      <c r="F52" s="1">
        <f t="shared" si="2"/>
        <v>9.7406921241050103E-8</v>
      </c>
      <c r="H52" s="1">
        <f t="shared" si="3"/>
        <v>25.3</v>
      </c>
      <c r="I52" s="1">
        <v>253000</v>
      </c>
      <c r="J52" s="1">
        <v>2.7357999999999998</v>
      </c>
      <c r="K52" s="1">
        <v>0</v>
      </c>
      <c r="L52" s="1">
        <f t="shared" si="4"/>
        <v>8.1616945107398558E-9</v>
      </c>
    </row>
    <row r="53" spans="1:12" x14ac:dyDescent="0.25">
      <c r="A53" s="1">
        <f t="shared" si="0"/>
        <v>25.85</v>
      </c>
      <c r="B53" s="1">
        <v>258500</v>
      </c>
      <c r="C53" s="1">
        <v>1.1736000000000001E-5</v>
      </c>
      <c r="D53" s="1">
        <v>2.2048900000000002E-5</v>
      </c>
      <c r="E53" s="1">
        <f t="shared" si="1"/>
        <v>3.3784900000000002E-5</v>
      </c>
      <c r="F53" s="1">
        <f t="shared" si="2"/>
        <v>1.0079027446300715E-7</v>
      </c>
      <c r="H53" s="1">
        <f t="shared" si="3"/>
        <v>25.85</v>
      </c>
      <c r="I53" s="1">
        <v>258500</v>
      </c>
      <c r="J53" s="1">
        <v>4.1948999999999996</v>
      </c>
      <c r="K53" s="1">
        <v>0</v>
      </c>
      <c r="L53" s="1">
        <f t="shared" si="4"/>
        <v>1.2514618138424818E-8</v>
      </c>
    </row>
    <row r="54" spans="1:12" x14ac:dyDescent="0.25">
      <c r="A54" s="1">
        <f t="shared" si="0"/>
        <v>26.4</v>
      </c>
      <c r="B54" s="1">
        <v>264000</v>
      </c>
      <c r="C54" s="1">
        <v>1.70945E-5</v>
      </c>
      <c r="D54" s="1">
        <v>3.4217500000000002E-5</v>
      </c>
      <c r="E54" s="1">
        <f t="shared" si="1"/>
        <v>5.1311999999999999E-5</v>
      </c>
      <c r="F54" s="1">
        <f t="shared" si="2"/>
        <v>1.5307875894988063E-7</v>
      </c>
      <c r="H54" s="1">
        <f t="shared" si="3"/>
        <v>26.4</v>
      </c>
      <c r="I54" s="1">
        <v>264000</v>
      </c>
      <c r="J54" s="1">
        <v>2.371</v>
      </c>
      <c r="K54" s="1">
        <v>0</v>
      </c>
      <c r="L54" s="1">
        <f t="shared" si="4"/>
        <v>7.0733890214797123E-9</v>
      </c>
    </row>
    <row r="55" spans="1:12" x14ac:dyDescent="0.25">
      <c r="A55" s="1">
        <f t="shared" si="0"/>
        <v>26.95</v>
      </c>
      <c r="B55" s="1">
        <v>269500</v>
      </c>
      <c r="C55" s="1">
        <v>1.7322399999999999E-5</v>
      </c>
      <c r="D55" s="1">
        <v>3.3753600000000002E-5</v>
      </c>
      <c r="E55" s="1">
        <f t="shared" si="1"/>
        <v>5.1075999999999997E-5</v>
      </c>
      <c r="F55" s="1">
        <f t="shared" si="2"/>
        <v>1.5237470167064438E-7</v>
      </c>
      <c r="H55" s="1">
        <f t="shared" si="3"/>
        <v>26.95</v>
      </c>
      <c r="I55" s="1">
        <v>269500</v>
      </c>
      <c r="J55" s="1">
        <v>3.4653</v>
      </c>
      <c r="K55" s="1">
        <v>0</v>
      </c>
      <c r="L55" s="1">
        <f t="shared" si="4"/>
        <v>1.0338007159904531E-8</v>
      </c>
    </row>
    <row r="56" spans="1:12" x14ac:dyDescent="0.25">
      <c r="A56" s="1">
        <f t="shared" si="0"/>
        <v>27.5</v>
      </c>
      <c r="B56" s="1">
        <v>275000</v>
      </c>
      <c r="C56" s="1">
        <v>1.8000599999999998E-5</v>
      </c>
      <c r="D56" s="1">
        <v>3.3545199999999999E-5</v>
      </c>
      <c r="E56" s="1">
        <f t="shared" si="1"/>
        <v>5.1545799999999997E-5</v>
      </c>
      <c r="F56" s="1">
        <f t="shared" si="2"/>
        <v>1.5377625298329352E-7</v>
      </c>
      <c r="H56" s="1">
        <f t="shared" si="3"/>
        <v>27.5</v>
      </c>
      <c r="I56" s="1">
        <v>275000</v>
      </c>
      <c r="J56" s="1">
        <v>5.2892000000000001</v>
      </c>
      <c r="K56" s="1">
        <v>0</v>
      </c>
      <c r="L56" s="1">
        <f t="shared" si="4"/>
        <v>1.5779236276849643E-8</v>
      </c>
    </row>
    <row r="57" spans="1:12" x14ac:dyDescent="0.25">
      <c r="A57" s="1">
        <f t="shared" si="0"/>
        <v>28.05</v>
      </c>
      <c r="B57" s="1">
        <v>280500</v>
      </c>
      <c r="C57" s="1">
        <v>1.8283200000000001E-5</v>
      </c>
      <c r="D57" s="1">
        <v>3.6192100000000002E-5</v>
      </c>
      <c r="E57" s="1">
        <f t="shared" si="1"/>
        <v>5.4475300000000003E-5</v>
      </c>
      <c r="F57" s="1">
        <f t="shared" si="2"/>
        <v>1.6251581145584724E-7</v>
      </c>
      <c r="H57" s="1">
        <f t="shared" si="3"/>
        <v>28.05</v>
      </c>
      <c r="I57" s="1">
        <v>280500</v>
      </c>
      <c r="J57" s="1">
        <v>4.3772000000000002</v>
      </c>
      <c r="K57" s="1">
        <v>0</v>
      </c>
      <c r="L57" s="1">
        <f t="shared" si="4"/>
        <v>1.3058472553699282E-8</v>
      </c>
    </row>
    <row r="58" spans="1:12" x14ac:dyDescent="0.25">
      <c r="A58" s="1">
        <f t="shared" si="0"/>
        <v>28.6</v>
      </c>
      <c r="B58" s="1">
        <v>286000</v>
      </c>
      <c r="C58" s="1">
        <v>1.9005199999999999E-5</v>
      </c>
      <c r="D58" s="1">
        <v>3.58821E-5</v>
      </c>
      <c r="E58" s="1">
        <f t="shared" si="1"/>
        <v>5.4887299999999999E-5</v>
      </c>
      <c r="F58" s="1">
        <f t="shared" si="2"/>
        <v>1.6374492840095466E-7</v>
      </c>
      <c r="H58" s="1">
        <f t="shared" si="3"/>
        <v>28.6</v>
      </c>
      <c r="I58" s="1">
        <v>286000</v>
      </c>
      <c r="J58" s="1">
        <v>4.1948999999999996</v>
      </c>
      <c r="K58" s="1">
        <v>0</v>
      </c>
      <c r="L58" s="1">
        <f t="shared" si="4"/>
        <v>1.2514618138424818E-8</v>
      </c>
    </row>
    <row r="59" spans="1:12" x14ac:dyDescent="0.25">
      <c r="A59" s="1">
        <f t="shared" si="0"/>
        <v>29.15</v>
      </c>
      <c r="B59" s="1">
        <v>291500</v>
      </c>
      <c r="C59" s="1">
        <v>1.9327899999999998E-5</v>
      </c>
      <c r="D59" s="1">
        <v>3.4537199999999999E-5</v>
      </c>
      <c r="E59" s="1">
        <f t="shared" si="1"/>
        <v>5.3865099999999994E-5</v>
      </c>
      <c r="F59" s="1">
        <f t="shared" si="2"/>
        <v>1.6069540572792358E-7</v>
      </c>
      <c r="H59" s="1">
        <f t="shared" si="3"/>
        <v>29.15</v>
      </c>
      <c r="I59" s="1">
        <v>291500</v>
      </c>
      <c r="J59" s="1">
        <v>5.6539000000000001</v>
      </c>
      <c r="K59" s="1">
        <v>0</v>
      </c>
      <c r="L59" s="1">
        <f t="shared" si="4"/>
        <v>1.6867243436754179E-8</v>
      </c>
    </row>
    <row r="60" spans="1:12" x14ac:dyDescent="0.25">
      <c r="A60" s="1">
        <f t="shared" si="0"/>
        <v>29.7</v>
      </c>
      <c r="B60" s="1">
        <v>297000</v>
      </c>
      <c r="C60" s="1">
        <v>2.0203E-5</v>
      </c>
      <c r="D60" s="1">
        <v>3.7149600000000001E-5</v>
      </c>
      <c r="E60" s="1">
        <f t="shared" si="1"/>
        <v>5.7352600000000004E-5</v>
      </c>
      <c r="F60" s="1">
        <f t="shared" si="2"/>
        <v>1.7109964200477328E-7</v>
      </c>
      <c r="H60" s="1">
        <f t="shared" si="3"/>
        <v>29.7</v>
      </c>
      <c r="I60" s="1">
        <v>297000</v>
      </c>
      <c r="J60" s="1">
        <v>7.8426</v>
      </c>
      <c r="K60" s="1">
        <v>0</v>
      </c>
      <c r="L60" s="1">
        <f t="shared" si="4"/>
        <v>2.3396778042959423E-8</v>
      </c>
    </row>
    <row r="61" spans="1:12" x14ac:dyDescent="0.25">
      <c r="A61" s="1">
        <f t="shared" si="0"/>
        <v>30.25</v>
      </c>
      <c r="B61" s="1">
        <v>302500</v>
      </c>
      <c r="C61" s="1">
        <v>2.0859399999999999E-5</v>
      </c>
      <c r="D61" s="1">
        <v>3.8884100000000003E-5</v>
      </c>
      <c r="E61" s="1">
        <f t="shared" si="1"/>
        <v>5.9743500000000002E-5</v>
      </c>
      <c r="F61" s="1">
        <f t="shared" si="2"/>
        <v>1.7823239856801907E-7</v>
      </c>
      <c r="H61" s="1">
        <f t="shared" si="3"/>
        <v>30.25</v>
      </c>
      <c r="I61" s="1">
        <v>302500</v>
      </c>
      <c r="J61" s="1">
        <v>10.396000000000001</v>
      </c>
      <c r="K61" s="1">
        <v>0</v>
      </c>
      <c r="L61" s="1">
        <f t="shared" si="4"/>
        <v>3.101431980906921E-8</v>
      </c>
    </row>
    <row r="62" spans="1:12" x14ac:dyDescent="0.25">
      <c r="A62" s="1">
        <f t="shared" si="0"/>
        <v>30.8</v>
      </c>
      <c r="B62" s="1">
        <v>308000</v>
      </c>
      <c r="C62" s="1">
        <v>2.20992E-5</v>
      </c>
      <c r="D62" s="1">
        <v>4.2796400000000002E-5</v>
      </c>
      <c r="E62" s="1">
        <f t="shared" si="1"/>
        <v>6.4895599999999996E-5</v>
      </c>
      <c r="F62" s="1">
        <f t="shared" si="2"/>
        <v>1.9360262529832932E-7</v>
      </c>
      <c r="H62" s="1">
        <f t="shared" si="3"/>
        <v>30.8</v>
      </c>
      <c r="I62" s="1">
        <v>308000</v>
      </c>
      <c r="J62" s="1">
        <v>10.943</v>
      </c>
      <c r="K62" s="1">
        <v>0</v>
      </c>
      <c r="L62" s="1">
        <f t="shared" si="4"/>
        <v>3.2646181384248206E-8</v>
      </c>
    </row>
    <row r="63" spans="1:12" x14ac:dyDescent="0.25">
      <c r="A63" s="1">
        <f t="shared" si="0"/>
        <v>31.35</v>
      </c>
      <c r="B63" s="1">
        <v>313500</v>
      </c>
      <c r="C63" s="1">
        <v>2.22505E-5</v>
      </c>
      <c r="D63" s="1">
        <v>3.9531399999999999E-5</v>
      </c>
      <c r="E63" s="1">
        <f t="shared" si="1"/>
        <v>6.1781899999999992E-5</v>
      </c>
      <c r="F63" s="1">
        <f t="shared" si="2"/>
        <v>1.8431354415274458E-7</v>
      </c>
      <c r="H63" s="1">
        <f t="shared" si="3"/>
        <v>31.35</v>
      </c>
      <c r="I63" s="1">
        <v>313500</v>
      </c>
      <c r="J63" s="1">
        <v>10.760999999999999</v>
      </c>
      <c r="K63" s="1">
        <v>0</v>
      </c>
      <c r="L63" s="1">
        <f t="shared" si="4"/>
        <v>3.2103221957040571E-8</v>
      </c>
    </row>
    <row r="64" spans="1:12" x14ac:dyDescent="0.25">
      <c r="A64" s="1">
        <f t="shared" si="0"/>
        <v>31.9</v>
      </c>
      <c r="B64" s="1">
        <v>319000</v>
      </c>
      <c r="C64" s="1">
        <v>2.3603300000000002E-5</v>
      </c>
      <c r="D64" s="1">
        <v>4.0259500000000003E-5</v>
      </c>
      <c r="E64" s="1">
        <f t="shared" si="1"/>
        <v>6.3862800000000008E-5</v>
      </c>
      <c r="F64" s="1">
        <f t="shared" si="2"/>
        <v>1.9052147971360385E-7</v>
      </c>
      <c r="H64" s="1">
        <f t="shared" si="3"/>
        <v>31.9</v>
      </c>
      <c r="I64" s="1">
        <v>319000</v>
      </c>
      <c r="J64" s="1">
        <v>11.673</v>
      </c>
      <c r="K64" s="1">
        <v>0</v>
      </c>
      <c r="L64" s="1">
        <f t="shared" si="4"/>
        <v>3.4823985680190929E-8</v>
      </c>
    </row>
    <row r="65" spans="1:12" x14ac:dyDescent="0.25">
      <c r="A65" s="1">
        <f t="shared" si="0"/>
        <v>32.450000000000003</v>
      </c>
      <c r="B65" s="1">
        <v>324500</v>
      </c>
      <c r="C65" s="1">
        <v>2.4133899999999999E-5</v>
      </c>
      <c r="D65" s="1">
        <v>4.0918099999999997E-5</v>
      </c>
      <c r="E65" s="1">
        <f t="shared" si="1"/>
        <v>6.5052E-5</v>
      </c>
      <c r="F65" s="1">
        <f t="shared" si="2"/>
        <v>1.9406921241050114E-7</v>
      </c>
      <c r="H65" s="1">
        <f t="shared" si="3"/>
        <v>32.450000000000003</v>
      </c>
      <c r="I65" s="1">
        <v>324500</v>
      </c>
      <c r="J65" s="1">
        <v>12.585000000000001</v>
      </c>
      <c r="K65" s="1">
        <v>0</v>
      </c>
      <c r="L65" s="1">
        <f t="shared" si="4"/>
        <v>3.7544749403341286E-8</v>
      </c>
    </row>
    <row r="66" spans="1:12" x14ac:dyDescent="0.25">
      <c r="A66" s="1">
        <f t="shared" si="0"/>
        <v>33</v>
      </c>
      <c r="B66" s="1">
        <v>330000</v>
      </c>
      <c r="C66" s="1">
        <v>2.55852E-5</v>
      </c>
      <c r="D66" s="1">
        <v>4.6494800000000001E-5</v>
      </c>
      <c r="E66" s="1">
        <f t="shared" si="1"/>
        <v>7.2080000000000001E-5</v>
      </c>
      <c r="F66" s="1">
        <f t="shared" si="2"/>
        <v>2.1503579952267302E-7</v>
      </c>
      <c r="H66" s="1">
        <f t="shared" si="3"/>
        <v>33</v>
      </c>
      <c r="I66" s="1">
        <v>330000</v>
      </c>
      <c r="J66" s="1">
        <v>14.590999999999999</v>
      </c>
      <c r="K66" s="1">
        <v>0</v>
      </c>
      <c r="L66" s="1">
        <f t="shared" si="4"/>
        <v>4.3529236276849636E-8</v>
      </c>
    </row>
    <row r="67" spans="1:12" x14ac:dyDescent="0.25">
      <c r="A67" s="1">
        <f t="shared" si="0"/>
        <v>33.549999999999997</v>
      </c>
      <c r="B67" s="1">
        <v>335500</v>
      </c>
      <c r="C67" s="1">
        <v>2.69617E-5</v>
      </c>
      <c r="D67" s="1">
        <v>4.7083499999999997E-5</v>
      </c>
      <c r="E67" s="1">
        <f t="shared" si="1"/>
        <v>7.40452E-5</v>
      </c>
      <c r="F67" s="1">
        <f t="shared" si="2"/>
        <v>2.2089856801909304E-7</v>
      </c>
      <c r="H67" s="1">
        <f t="shared" si="3"/>
        <v>33.549999999999997</v>
      </c>
      <c r="I67" s="1">
        <v>335500</v>
      </c>
      <c r="J67" s="1">
        <v>19.698</v>
      </c>
      <c r="K67" s="1">
        <v>0</v>
      </c>
      <c r="L67" s="1">
        <f t="shared" si="4"/>
        <v>5.8764916467780427E-8</v>
      </c>
    </row>
    <row r="68" spans="1:12" x14ac:dyDescent="0.25">
      <c r="A68" s="1">
        <f t="shared" si="0"/>
        <v>34.1</v>
      </c>
      <c r="B68" s="1">
        <v>341000</v>
      </c>
      <c r="C68" s="1">
        <v>2.8121300000000001E-5</v>
      </c>
      <c r="D68" s="1">
        <v>4.7924399999999998E-5</v>
      </c>
      <c r="E68" s="1">
        <f t="shared" si="1"/>
        <v>7.6045700000000003E-5</v>
      </c>
      <c r="F68" s="1">
        <f t="shared" si="2"/>
        <v>2.2686664677804294E-7</v>
      </c>
      <c r="H68" s="1">
        <f t="shared" si="3"/>
        <v>34.1</v>
      </c>
      <c r="I68" s="1">
        <v>341000</v>
      </c>
      <c r="J68" s="1">
        <v>22.797999999999998</v>
      </c>
      <c r="K68" s="1">
        <v>0</v>
      </c>
      <c r="L68" s="1">
        <f t="shared" si="4"/>
        <v>6.801312649164677E-8</v>
      </c>
    </row>
    <row r="69" spans="1:12" x14ac:dyDescent="0.25">
      <c r="A69" s="1">
        <f t="shared" si="0"/>
        <v>34.65</v>
      </c>
      <c r="B69" s="1">
        <v>346500</v>
      </c>
      <c r="C69" s="1">
        <v>2.9898899999999999E-5</v>
      </c>
      <c r="D69" s="1">
        <v>5.1867099999999997E-5</v>
      </c>
      <c r="E69" s="1">
        <f t="shared" si="1"/>
        <v>8.1765999999999989E-5</v>
      </c>
      <c r="F69" s="1">
        <f t="shared" si="2"/>
        <v>2.4393198090692116E-7</v>
      </c>
      <c r="H69" s="1">
        <f t="shared" si="3"/>
        <v>34.65</v>
      </c>
      <c r="I69" s="1">
        <v>346500</v>
      </c>
      <c r="J69" s="1">
        <v>22.616</v>
      </c>
      <c r="K69" s="1">
        <v>0</v>
      </c>
      <c r="L69" s="1">
        <f t="shared" si="4"/>
        <v>6.7470167064439135E-8</v>
      </c>
    </row>
    <row r="70" spans="1:12" x14ac:dyDescent="0.25">
      <c r="A70" s="1">
        <f t="shared" si="0"/>
        <v>35.200000000000003</v>
      </c>
      <c r="B70" s="1">
        <v>352000</v>
      </c>
      <c r="C70" s="1">
        <v>3.1495999999999998E-5</v>
      </c>
      <c r="D70" s="1">
        <v>5.1903300000000002E-5</v>
      </c>
      <c r="E70" s="1">
        <f t="shared" si="1"/>
        <v>8.33993E-5</v>
      </c>
      <c r="F70" s="1">
        <f t="shared" si="2"/>
        <v>2.4880459427207635E-7</v>
      </c>
      <c r="H70" s="1">
        <f t="shared" si="3"/>
        <v>35.200000000000003</v>
      </c>
      <c r="I70" s="1">
        <v>352000</v>
      </c>
      <c r="J70" s="1">
        <v>32.1</v>
      </c>
      <c r="K70" s="1">
        <v>0</v>
      </c>
      <c r="L70" s="1">
        <f t="shared" si="4"/>
        <v>9.5763723150357994E-8</v>
      </c>
    </row>
    <row r="71" spans="1:12" x14ac:dyDescent="0.25">
      <c r="A71" s="1">
        <f t="shared" si="0"/>
        <v>35.75</v>
      </c>
      <c r="B71" s="1">
        <v>357500</v>
      </c>
      <c r="C71" s="1">
        <v>3.36912E-5</v>
      </c>
      <c r="D71" s="1">
        <v>5.8941299999999998E-5</v>
      </c>
      <c r="E71" s="1">
        <f t="shared" si="1"/>
        <v>9.2632499999999998E-5</v>
      </c>
      <c r="F71" s="1">
        <f t="shared" si="2"/>
        <v>2.7634994033412877E-7</v>
      </c>
      <c r="H71" s="1">
        <f t="shared" si="3"/>
        <v>35.75</v>
      </c>
      <c r="I71" s="1">
        <v>357500</v>
      </c>
      <c r="J71" s="1">
        <v>35.93</v>
      </c>
      <c r="K71" s="1">
        <v>0</v>
      </c>
      <c r="L71" s="1">
        <f t="shared" si="4"/>
        <v>1.0718973747016705E-7</v>
      </c>
    </row>
    <row r="72" spans="1:12" x14ac:dyDescent="0.25">
      <c r="A72" s="1">
        <f t="shared" ref="A72:A106" si="5">B72/10000</f>
        <v>36.299999999999997</v>
      </c>
      <c r="B72" s="1">
        <v>363000</v>
      </c>
      <c r="C72" s="1">
        <v>3.6446000000000003E-5</v>
      </c>
      <c r="D72" s="1">
        <v>6.2216499999999996E-5</v>
      </c>
      <c r="E72" s="1">
        <f t="shared" ref="E72:E106" si="6">C72+D72</f>
        <v>9.8662499999999993E-5</v>
      </c>
      <c r="F72" s="1">
        <f t="shared" ref="F72:F106" si="7">E72*$P$5*$Q$5*$R$5*$S$5/$T$5</f>
        <v>2.9433920047732698E-7</v>
      </c>
      <c r="H72" s="1">
        <f t="shared" ref="H72:H106" si="8">I72/10000</f>
        <v>36.299999999999997</v>
      </c>
      <c r="I72" s="1">
        <v>363000</v>
      </c>
      <c r="J72" s="1">
        <v>46.691000000000003</v>
      </c>
      <c r="K72" s="1">
        <v>0</v>
      </c>
      <c r="L72" s="1">
        <f t="shared" ref="L72:L106" si="9">J72*$P$5*10^-6*$S$5/($T$5)*100</f>
        <v>1.3929295942720762E-7</v>
      </c>
    </row>
    <row r="73" spans="1:12" x14ac:dyDescent="0.25">
      <c r="A73" s="1">
        <f t="shared" si="5"/>
        <v>36.85</v>
      </c>
      <c r="B73" s="1">
        <v>368500</v>
      </c>
      <c r="C73" s="1">
        <v>4.0274800000000003E-5</v>
      </c>
      <c r="D73" s="1">
        <v>6.4162600000000001E-5</v>
      </c>
      <c r="E73" s="1">
        <f t="shared" si="6"/>
        <v>1.044374E-4</v>
      </c>
      <c r="F73" s="1">
        <f t="shared" si="7"/>
        <v>3.1156742243436749E-7</v>
      </c>
      <c r="H73" s="1">
        <f t="shared" si="8"/>
        <v>36.85</v>
      </c>
      <c r="I73" s="1">
        <v>368500</v>
      </c>
      <c r="J73" s="1">
        <v>62.375999999999998</v>
      </c>
      <c r="K73" s="1">
        <v>0</v>
      </c>
      <c r="L73" s="1">
        <f t="shared" si="9"/>
        <v>1.8608591885441525E-7</v>
      </c>
    </row>
    <row r="74" spans="1:12" x14ac:dyDescent="0.25">
      <c r="A74" s="1">
        <f t="shared" si="5"/>
        <v>37.4</v>
      </c>
      <c r="B74" s="1">
        <v>374000</v>
      </c>
      <c r="C74" s="1">
        <v>4.4371600000000001E-5</v>
      </c>
      <c r="D74" s="1">
        <v>7.4456799999999995E-5</v>
      </c>
      <c r="E74" s="1">
        <f t="shared" si="6"/>
        <v>1.188284E-4</v>
      </c>
      <c r="F74" s="1">
        <f t="shared" si="7"/>
        <v>3.5449999999999995E-7</v>
      </c>
      <c r="H74" s="1">
        <f t="shared" si="8"/>
        <v>37.4</v>
      </c>
      <c r="I74" s="1">
        <v>374000</v>
      </c>
      <c r="J74" s="1">
        <v>89.733999999999995</v>
      </c>
      <c r="K74" s="1">
        <v>0</v>
      </c>
      <c r="L74" s="1">
        <f t="shared" si="9"/>
        <v>2.677028639618138E-7</v>
      </c>
    </row>
    <row r="75" spans="1:12" x14ac:dyDescent="0.25">
      <c r="A75" s="1">
        <f t="shared" si="5"/>
        <v>37.950000000000003</v>
      </c>
      <c r="B75" s="1">
        <v>379500</v>
      </c>
      <c r="C75" s="1">
        <v>4.9750000000000003E-5</v>
      </c>
      <c r="D75" s="1">
        <v>7.7024099999999993E-5</v>
      </c>
      <c r="E75" s="1">
        <f t="shared" si="6"/>
        <v>1.267741E-4</v>
      </c>
      <c r="F75" s="1">
        <f t="shared" si="7"/>
        <v>3.7820435560859186E-7</v>
      </c>
      <c r="H75" s="1">
        <f t="shared" si="8"/>
        <v>37.950000000000003</v>
      </c>
      <c r="I75" s="1">
        <v>379500</v>
      </c>
      <c r="J75" s="1">
        <v>121.47</v>
      </c>
      <c r="K75" s="1">
        <v>0</v>
      </c>
      <c r="L75" s="1">
        <f t="shared" si="9"/>
        <v>3.6238066825775655E-7</v>
      </c>
    </row>
    <row r="76" spans="1:12" x14ac:dyDescent="0.25">
      <c r="A76" s="1">
        <f t="shared" si="5"/>
        <v>38.5</v>
      </c>
      <c r="B76" s="1">
        <v>385000</v>
      </c>
      <c r="C76" s="1">
        <v>5.7403900000000001E-5</v>
      </c>
      <c r="D76" s="1">
        <v>8.4728200000000006E-5</v>
      </c>
      <c r="E76" s="1">
        <f t="shared" si="6"/>
        <v>1.4213210000000001E-4</v>
      </c>
      <c r="F76" s="1">
        <f t="shared" si="7"/>
        <v>4.2402177804295945E-7</v>
      </c>
      <c r="H76" s="1">
        <f t="shared" si="8"/>
        <v>38.5</v>
      </c>
      <c r="I76" s="1">
        <v>385000</v>
      </c>
      <c r="J76" s="1">
        <v>168.52</v>
      </c>
      <c r="K76" s="1">
        <v>0</v>
      </c>
      <c r="L76" s="1">
        <f t="shared" si="9"/>
        <v>5.0274463007159893E-7</v>
      </c>
    </row>
    <row r="77" spans="1:12" x14ac:dyDescent="0.25">
      <c r="A77" s="1">
        <f t="shared" si="5"/>
        <v>39.049999999999997</v>
      </c>
      <c r="B77" s="1">
        <v>390500</v>
      </c>
      <c r="C77" s="1">
        <v>6.7393300000000004E-5</v>
      </c>
      <c r="D77" s="1">
        <v>9.1808100000000006E-5</v>
      </c>
      <c r="E77" s="1">
        <f t="shared" si="6"/>
        <v>1.5920140000000001E-4</v>
      </c>
      <c r="F77" s="1">
        <f t="shared" si="7"/>
        <v>4.7494451073985685E-7</v>
      </c>
      <c r="H77" s="1">
        <f t="shared" si="8"/>
        <v>39.049999999999997</v>
      </c>
      <c r="I77" s="1">
        <v>390500</v>
      </c>
      <c r="J77" s="1">
        <v>266.83</v>
      </c>
      <c r="K77" s="1">
        <v>0</v>
      </c>
      <c r="L77" s="1">
        <f t="shared" si="9"/>
        <v>7.9603221957040561E-7</v>
      </c>
    </row>
    <row r="78" spans="1:12" x14ac:dyDescent="0.25">
      <c r="A78" s="1">
        <f t="shared" si="5"/>
        <v>39.6</v>
      </c>
      <c r="B78" s="1">
        <v>396000</v>
      </c>
      <c r="C78" s="1">
        <v>8.3834999999999999E-5</v>
      </c>
      <c r="D78" s="1">
        <v>1.02363E-4</v>
      </c>
      <c r="E78" s="1">
        <f t="shared" si="6"/>
        <v>1.86198E-4</v>
      </c>
      <c r="F78" s="1">
        <f t="shared" si="7"/>
        <v>5.5548329355608589E-7</v>
      </c>
      <c r="H78" s="1">
        <f t="shared" si="8"/>
        <v>39.6</v>
      </c>
      <c r="I78" s="1">
        <v>396000</v>
      </c>
      <c r="J78" s="1">
        <v>443.2</v>
      </c>
      <c r="K78" s="1">
        <v>0</v>
      </c>
      <c r="L78" s="1">
        <f t="shared" si="9"/>
        <v>1.322195704057279E-6</v>
      </c>
    </row>
    <row r="79" spans="1:12" x14ac:dyDescent="0.25">
      <c r="A79" s="1">
        <f t="shared" si="5"/>
        <v>40.15</v>
      </c>
      <c r="B79" s="1">
        <v>401500</v>
      </c>
      <c r="C79" s="1">
        <v>1.08622E-4</v>
      </c>
      <c r="D79" s="1">
        <v>1.2142E-4</v>
      </c>
      <c r="E79" s="1">
        <f t="shared" si="6"/>
        <v>2.3004200000000002E-4</v>
      </c>
      <c r="F79" s="1">
        <f t="shared" si="7"/>
        <v>6.8628281622911683E-7</v>
      </c>
      <c r="H79" s="1">
        <f t="shared" si="8"/>
        <v>40.15</v>
      </c>
      <c r="I79" s="1">
        <v>401500</v>
      </c>
      <c r="J79" s="1">
        <v>800.31</v>
      </c>
      <c r="K79" s="1">
        <v>0</v>
      </c>
      <c r="L79" s="1">
        <f t="shared" si="9"/>
        <v>2.3875596658711216E-6</v>
      </c>
    </row>
    <row r="80" spans="1:12" x14ac:dyDescent="0.25">
      <c r="A80" s="1">
        <f t="shared" si="5"/>
        <v>40.700000000000003</v>
      </c>
      <c r="B80" s="1">
        <v>407000</v>
      </c>
      <c r="C80" s="1">
        <v>1.4201E-4</v>
      </c>
      <c r="D80" s="1">
        <v>1.37758E-4</v>
      </c>
      <c r="E80" s="1">
        <f t="shared" si="6"/>
        <v>2.7976800000000001E-4</v>
      </c>
      <c r="F80" s="1">
        <f t="shared" si="7"/>
        <v>8.3463007159904536E-7</v>
      </c>
      <c r="H80" s="1">
        <f t="shared" si="8"/>
        <v>40.700000000000003</v>
      </c>
      <c r="I80" s="1">
        <v>407000</v>
      </c>
      <c r="J80" s="1">
        <v>1398.9</v>
      </c>
      <c r="K80" s="1">
        <v>0</v>
      </c>
      <c r="L80" s="1">
        <f t="shared" si="9"/>
        <v>4.1733293556085925E-6</v>
      </c>
    </row>
    <row r="81" spans="1:12" x14ac:dyDescent="0.25">
      <c r="A81" s="1">
        <f t="shared" si="5"/>
        <v>41.25</v>
      </c>
      <c r="B81" s="1">
        <v>412500</v>
      </c>
      <c r="C81" s="1">
        <v>1.79319E-4</v>
      </c>
      <c r="D81" s="1">
        <v>1.5034599999999999E-4</v>
      </c>
      <c r="E81" s="1">
        <f t="shared" si="6"/>
        <v>3.2966499999999998E-4</v>
      </c>
      <c r="F81" s="1">
        <f t="shared" si="7"/>
        <v>9.8348747016706418E-7</v>
      </c>
      <c r="H81" s="1">
        <f t="shared" si="8"/>
        <v>41.25</v>
      </c>
      <c r="I81" s="1">
        <v>412500</v>
      </c>
      <c r="J81" s="1">
        <v>2300.4</v>
      </c>
      <c r="K81" s="1">
        <v>0</v>
      </c>
      <c r="L81" s="1">
        <f t="shared" si="9"/>
        <v>6.862768496420046E-6</v>
      </c>
    </row>
    <row r="82" spans="1:12" x14ac:dyDescent="0.25">
      <c r="A82" s="1">
        <f t="shared" si="5"/>
        <v>41.8</v>
      </c>
      <c r="B82" s="1">
        <v>418000</v>
      </c>
      <c r="C82" s="1">
        <v>1.96758E-4</v>
      </c>
      <c r="D82" s="1">
        <v>1.43499E-4</v>
      </c>
      <c r="E82" s="1">
        <f t="shared" si="6"/>
        <v>3.4025700000000001E-4</v>
      </c>
      <c r="F82" s="1">
        <f t="shared" si="7"/>
        <v>1.0150865155131263E-6</v>
      </c>
      <c r="H82" s="1">
        <f t="shared" si="8"/>
        <v>41.8</v>
      </c>
      <c r="I82" s="1">
        <v>418000</v>
      </c>
      <c r="J82" s="1">
        <v>3005.5</v>
      </c>
      <c r="K82" s="1">
        <v>0</v>
      </c>
      <c r="L82" s="1">
        <f t="shared" si="9"/>
        <v>8.9662887828162283E-6</v>
      </c>
    </row>
    <row r="83" spans="1:12" x14ac:dyDescent="0.25">
      <c r="A83" s="1">
        <f t="shared" si="5"/>
        <v>42.35</v>
      </c>
      <c r="B83" s="1">
        <v>423500</v>
      </c>
      <c r="C83" s="1">
        <v>1.84816E-4</v>
      </c>
      <c r="D83" s="1">
        <v>1.15571E-4</v>
      </c>
      <c r="E83" s="1">
        <f t="shared" si="6"/>
        <v>3.00387E-4</v>
      </c>
      <c r="F83" s="1">
        <f t="shared" si="7"/>
        <v>8.961426014319806E-7</v>
      </c>
      <c r="H83" s="1">
        <f t="shared" si="8"/>
        <v>42.35</v>
      </c>
      <c r="I83" s="1">
        <v>423500</v>
      </c>
      <c r="J83" s="1">
        <v>3355</v>
      </c>
      <c r="K83" s="1">
        <v>0</v>
      </c>
      <c r="L83" s="1">
        <f t="shared" si="9"/>
        <v>1.0008949880668255E-5</v>
      </c>
    </row>
    <row r="84" spans="1:12" x14ac:dyDescent="0.25">
      <c r="A84" s="1">
        <f t="shared" si="5"/>
        <v>42.9</v>
      </c>
      <c r="B84" s="1">
        <v>429000</v>
      </c>
      <c r="C84" s="1">
        <v>1.3707500000000001E-4</v>
      </c>
      <c r="D84" s="1">
        <v>7.7408299999999995E-5</v>
      </c>
      <c r="E84" s="1">
        <f t="shared" si="6"/>
        <v>2.1448330000000001E-4</v>
      </c>
      <c r="F84" s="1">
        <f t="shared" si="7"/>
        <v>6.3986664677804289E-7</v>
      </c>
      <c r="H84" s="1">
        <f t="shared" si="8"/>
        <v>42.9</v>
      </c>
      <c r="I84" s="1">
        <v>429000</v>
      </c>
      <c r="J84" s="1">
        <v>2759.3</v>
      </c>
      <c r="K84" s="1">
        <v>0</v>
      </c>
      <c r="L84" s="1">
        <f t="shared" si="9"/>
        <v>8.2318019093078742E-6</v>
      </c>
    </row>
    <row r="85" spans="1:12" x14ac:dyDescent="0.25">
      <c r="A85" s="1">
        <f t="shared" si="5"/>
        <v>43.45</v>
      </c>
      <c r="B85" s="1">
        <v>434500</v>
      </c>
      <c r="C85" s="1">
        <v>7.8101000000000003E-5</v>
      </c>
      <c r="D85" s="1">
        <v>3.9400300000000003E-5</v>
      </c>
      <c r="E85" s="1">
        <f t="shared" si="6"/>
        <v>1.1750130000000001E-4</v>
      </c>
      <c r="F85" s="1">
        <f t="shared" si="7"/>
        <v>3.5054087112171837E-7</v>
      </c>
      <c r="H85" s="1">
        <f t="shared" si="8"/>
        <v>43.45</v>
      </c>
      <c r="I85" s="1">
        <v>434500</v>
      </c>
      <c r="J85" s="1">
        <v>1756.4</v>
      </c>
      <c r="K85" s="1">
        <v>0</v>
      </c>
      <c r="L85" s="1">
        <f t="shared" si="9"/>
        <v>5.2398568019093076E-6</v>
      </c>
    </row>
    <row r="86" spans="1:12" x14ac:dyDescent="0.25">
      <c r="A86" s="1">
        <f t="shared" si="5"/>
        <v>44</v>
      </c>
      <c r="B86" s="1">
        <v>440000</v>
      </c>
      <c r="C86" s="1">
        <v>3.6072299999999997E-5</v>
      </c>
      <c r="D86" s="1">
        <v>1.5682999999999999E-5</v>
      </c>
      <c r="E86" s="1">
        <f t="shared" si="6"/>
        <v>5.1755299999999996E-5</v>
      </c>
      <c r="F86" s="1">
        <f t="shared" si="7"/>
        <v>1.5440125298329354E-7</v>
      </c>
      <c r="H86" s="1">
        <f t="shared" si="8"/>
        <v>44</v>
      </c>
      <c r="I86" s="1">
        <v>440000</v>
      </c>
      <c r="J86" s="1">
        <v>870.89</v>
      </c>
      <c r="K86" s="1">
        <v>0</v>
      </c>
      <c r="L86" s="1">
        <f t="shared" si="9"/>
        <v>2.598120525059665E-6</v>
      </c>
    </row>
    <row r="87" spans="1:12" x14ac:dyDescent="0.25">
      <c r="A87" s="1">
        <f t="shared" si="5"/>
        <v>44.55</v>
      </c>
      <c r="B87" s="1">
        <v>445500</v>
      </c>
      <c r="C87" s="1">
        <v>1.26659E-5</v>
      </c>
      <c r="D87" s="1">
        <v>5.5612000000000002E-6</v>
      </c>
      <c r="E87" s="1">
        <f t="shared" si="6"/>
        <v>1.82271E-5</v>
      </c>
      <c r="F87" s="1">
        <f t="shared" si="7"/>
        <v>5.4376789976133646E-8</v>
      </c>
      <c r="H87" s="1">
        <f t="shared" si="8"/>
        <v>44.55</v>
      </c>
      <c r="I87" s="1">
        <v>445500</v>
      </c>
      <c r="J87" s="1">
        <v>335.04</v>
      </c>
      <c r="K87" s="1">
        <v>0</v>
      </c>
      <c r="L87" s="1">
        <f t="shared" si="9"/>
        <v>9.9952267303102629E-7</v>
      </c>
    </row>
    <row r="88" spans="1:12" x14ac:dyDescent="0.25">
      <c r="A88" s="1">
        <f t="shared" si="5"/>
        <v>45.1</v>
      </c>
      <c r="B88" s="1">
        <v>451000</v>
      </c>
      <c r="C88" s="1">
        <v>3.46775E-6</v>
      </c>
      <c r="D88" s="1">
        <v>1.55573E-6</v>
      </c>
      <c r="E88" s="1">
        <f t="shared" si="6"/>
        <v>5.0234799999999997E-6</v>
      </c>
      <c r="F88" s="1">
        <f t="shared" si="7"/>
        <v>1.4986515513126489E-8</v>
      </c>
      <c r="H88" s="1">
        <f t="shared" si="8"/>
        <v>45.1</v>
      </c>
      <c r="I88" s="1">
        <v>451000</v>
      </c>
      <c r="J88" s="1">
        <v>100.49</v>
      </c>
      <c r="K88" s="1">
        <v>0</v>
      </c>
      <c r="L88" s="1">
        <f t="shared" si="9"/>
        <v>2.9979116945107397E-7</v>
      </c>
    </row>
    <row r="89" spans="1:12" x14ac:dyDescent="0.25">
      <c r="A89" s="1">
        <f t="shared" si="5"/>
        <v>45.65</v>
      </c>
      <c r="B89" s="1">
        <v>456500</v>
      </c>
      <c r="C89" s="1">
        <v>5.4331800000000002E-7</v>
      </c>
      <c r="D89" s="1">
        <v>1.9955999999999999E-7</v>
      </c>
      <c r="E89" s="1">
        <f t="shared" si="6"/>
        <v>7.4287800000000004E-7</v>
      </c>
      <c r="F89" s="1">
        <f t="shared" si="7"/>
        <v>2.2162231503579953E-9</v>
      </c>
      <c r="H89" s="1">
        <f t="shared" si="8"/>
        <v>45.65</v>
      </c>
      <c r="I89" s="1">
        <v>456500</v>
      </c>
      <c r="J89" s="1">
        <v>16.779</v>
      </c>
      <c r="K89" s="1">
        <v>0</v>
      </c>
      <c r="L89" s="1">
        <f t="shared" si="9"/>
        <v>5.0056682577565622E-8</v>
      </c>
    </row>
    <row r="90" spans="1:12" x14ac:dyDescent="0.25">
      <c r="A90" s="1">
        <f t="shared" si="5"/>
        <v>46.2</v>
      </c>
      <c r="B90" s="1">
        <v>462000</v>
      </c>
      <c r="C90" s="1">
        <v>7.1105300000000003E-8</v>
      </c>
      <c r="D90" s="1">
        <v>5.47257E-8</v>
      </c>
      <c r="E90" s="1">
        <f t="shared" si="6"/>
        <v>1.2583100000000001E-7</v>
      </c>
      <c r="F90" s="1">
        <f t="shared" si="7"/>
        <v>3.7539081145584721E-10</v>
      </c>
      <c r="H90" s="1">
        <f t="shared" si="8"/>
        <v>46.2</v>
      </c>
      <c r="I90" s="1">
        <v>462000</v>
      </c>
      <c r="J90" s="1">
        <v>2.5533999999999999</v>
      </c>
      <c r="K90" s="1">
        <v>0</v>
      </c>
      <c r="L90" s="1">
        <f t="shared" si="9"/>
        <v>7.6175417661097836E-9</v>
      </c>
    </row>
    <row r="91" spans="1:12" x14ac:dyDescent="0.25">
      <c r="A91" s="1">
        <f t="shared" si="5"/>
        <v>46.75</v>
      </c>
      <c r="B91" s="1">
        <v>467500</v>
      </c>
      <c r="C91" s="1">
        <v>1.0939299999999999E-8</v>
      </c>
      <c r="D91" s="1">
        <v>1.0829000000000001E-8</v>
      </c>
      <c r="E91" s="1">
        <f t="shared" si="6"/>
        <v>2.17683E-8</v>
      </c>
      <c r="F91" s="1">
        <f t="shared" si="7"/>
        <v>6.4941229116945104E-11</v>
      </c>
      <c r="H91" s="1">
        <f t="shared" si="8"/>
        <v>46.75</v>
      </c>
      <c r="I91" s="1">
        <v>467500</v>
      </c>
      <c r="J91" s="1">
        <v>0.18239</v>
      </c>
      <c r="K91" s="1">
        <v>0</v>
      </c>
      <c r="L91" s="1">
        <f t="shared" si="9"/>
        <v>5.4412291169451073E-10</v>
      </c>
    </row>
    <row r="92" spans="1:12" x14ac:dyDescent="0.25">
      <c r="A92" s="1">
        <f t="shared" si="5"/>
        <v>47.3</v>
      </c>
      <c r="B92" s="1">
        <v>473000</v>
      </c>
      <c r="C92" s="1">
        <v>1.0939299999999999E-8</v>
      </c>
      <c r="D92" s="1">
        <v>0</v>
      </c>
      <c r="E92" s="1">
        <f t="shared" si="6"/>
        <v>1.0939299999999999E-8</v>
      </c>
      <c r="F92" s="1">
        <f t="shared" si="7"/>
        <v>3.2635143198090684E-11</v>
      </c>
      <c r="H92" s="1">
        <f t="shared" si="8"/>
        <v>47.3</v>
      </c>
      <c r="I92" s="1">
        <v>473000</v>
      </c>
      <c r="J92" s="1">
        <v>0.36476999999999998</v>
      </c>
      <c r="K92" s="1">
        <v>0</v>
      </c>
      <c r="L92" s="1">
        <f t="shared" si="9"/>
        <v>1.0882159904534605E-9</v>
      </c>
    </row>
    <row r="93" spans="1:12" x14ac:dyDescent="0.25">
      <c r="A93" s="1">
        <f t="shared" si="5"/>
        <v>47.85</v>
      </c>
      <c r="B93" s="1">
        <v>478500</v>
      </c>
      <c r="C93" s="1">
        <v>0</v>
      </c>
      <c r="D93" s="1">
        <v>0</v>
      </c>
      <c r="E93" s="1">
        <f t="shared" si="6"/>
        <v>0</v>
      </c>
      <c r="F93" s="1">
        <f t="shared" si="7"/>
        <v>0</v>
      </c>
      <c r="H93" s="1">
        <f t="shared" si="8"/>
        <v>47.85</v>
      </c>
      <c r="I93" s="1">
        <v>478500</v>
      </c>
      <c r="J93" s="1">
        <v>0</v>
      </c>
      <c r="K93" s="1">
        <v>0</v>
      </c>
      <c r="L93" s="1">
        <f t="shared" si="9"/>
        <v>0</v>
      </c>
    </row>
    <row r="94" spans="1:12" x14ac:dyDescent="0.25">
      <c r="A94" s="1">
        <f t="shared" si="5"/>
        <v>48.4</v>
      </c>
      <c r="B94" s="1">
        <v>484000</v>
      </c>
      <c r="C94" s="1">
        <v>0</v>
      </c>
      <c r="D94" s="1">
        <v>0</v>
      </c>
      <c r="E94" s="1">
        <f t="shared" si="6"/>
        <v>0</v>
      </c>
      <c r="F94" s="1">
        <f t="shared" si="7"/>
        <v>0</v>
      </c>
      <c r="H94" s="1">
        <f t="shared" si="8"/>
        <v>48.4</v>
      </c>
      <c r="I94" s="1">
        <v>484000</v>
      </c>
      <c r="J94" s="1">
        <v>0</v>
      </c>
      <c r="K94" s="1">
        <v>0</v>
      </c>
      <c r="L94" s="1">
        <f t="shared" si="9"/>
        <v>0</v>
      </c>
    </row>
    <row r="95" spans="1:12" x14ac:dyDescent="0.25">
      <c r="A95" s="1">
        <f t="shared" si="5"/>
        <v>48.95</v>
      </c>
      <c r="B95" s="1">
        <v>489500</v>
      </c>
      <c r="C95" s="1">
        <v>0</v>
      </c>
      <c r="D95" s="1">
        <v>0</v>
      </c>
      <c r="E95" s="1">
        <f t="shared" si="6"/>
        <v>0</v>
      </c>
      <c r="F95" s="1">
        <f t="shared" si="7"/>
        <v>0</v>
      </c>
      <c r="H95" s="1">
        <f t="shared" si="8"/>
        <v>48.95</v>
      </c>
      <c r="I95" s="1">
        <v>489500</v>
      </c>
      <c r="J95" s="1">
        <v>0</v>
      </c>
      <c r="K95" s="1">
        <v>0</v>
      </c>
      <c r="L95" s="1">
        <f t="shared" si="9"/>
        <v>0</v>
      </c>
    </row>
    <row r="96" spans="1:12" x14ac:dyDescent="0.25">
      <c r="A96" s="1">
        <f t="shared" si="5"/>
        <v>49.5</v>
      </c>
      <c r="B96" s="1">
        <v>495000</v>
      </c>
      <c r="C96" s="1">
        <v>0</v>
      </c>
      <c r="D96" s="1">
        <v>0</v>
      </c>
      <c r="E96" s="1">
        <f t="shared" si="6"/>
        <v>0</v>
      </c>
      <c r="F96" s="1">
        <f t="shared" si="7"/>
        <v>0</v>
      </c>
      <c r="H96" s="1">
        <f t="shared" si="8"/>
        <v>49.5</v>
      </c>
      <c r="I96" s="1">
        <v>495000</v>
      </c>
      <c r="J96" s="1">
        <v>0</v>
      </c>
      <c r="K96" s="1">
        <v>0</v>
      </c>
      <c r="L96" s="1">
        <f t="shared" si="9"/>
        <v>0</v>
      </c>
    </row>
    <row r="97" spans="1:12" x14ac:dyDescent="0.25">
      <c r="A97" s="1">
        <f t="shared" si="5"/>
        <v>50.05</v>
      </c>
      <c r="B97" s="1">
        <v>500500</v>
      </c>
      <c r="C97" s="1">
        <v>0</v>
      </c>
      <c r="D97" s="1">
        <v>0</v>
      </c>
      <c r="E97" s="1">
        <f t="shared" si="6"/>
        <v>0</v>
      </c>
      <c r="F97" s="1">
        <f t="shared" si="7"/>
        <v>0</v>
      </c>
      <c r="H97" s="1">
        <f t="shared" si="8"/>
        <v>50.05</v>
      </c>
      <c r="I97" s="1">
        <v>500500</v>
      </c>
      <c r="J97" s="1">
        <v>0</v>
      </c>
      <c r="K97" s="1">
        <v>0</v>
      </c>
      <c r="L97" s="1">
        <f t="shared" si="9"/>
        <v>0</v>
      </c>
    </row>
    <row r="98" spans="1:12" x14ac:dyDescent="0.25">
      <c r="A98" s="1">
        <f t="shared" si="5"/>
        <v>50.6</v>
      </c>
      <c r="B98" s="1">
        <v>506000</v>
      </c>
      <c r="C98" s="1">
        <v>0</v>
      </c>
      <c r="D98" s="1">
        <v>0</v>
      </c>
      <c r="E98" s="1">
        <f t="shared" si="6"/>
        <v>0</v>
      </c>
      <c r="F98" s="1">
        <f t="shared" si="7"/>
        <v>0</v>
      </c>
      <c r="H98" s="1">
        <f t="shared" si="8"/>
        <v>50.6</v>
      </c>
      <c r="I98" s="1">
        <v>506000</v>
      </c>
      <c r="J98" s="1">
        <v>0</v>
      </c>
      <c r="K98" s="1">
        <v>0</v>
      </c>
      <c r="L98" s="1">
        <f t="shared" si="9"/>
        <v>0</v>
      </c>
    </row>
    <row r="99" spans="1:12" x14ac:dyDescent="0.25">
      <c r="A99" s="1">
        <f t="shared" si="5"/>
        <v>51.15</v>
      </c>
      <c r="B99" s="1">
        <v>511500</v>
      </c>
      <c r="C99" s="1">
        <v>0</v>
      </c>
      <c r="D99" s="1">
        <v>0</v>
      </c>
      <c r="E99" s="1">
        <f t="shared" si="6"/>
        <v>0</v>
      </c>
      <c r="F99" s="1">
        <f t="shared" si="7"/>
        <v>0</v>
      </c>
      <c r="H99" s="1">
        <f t="shared" si="8"/>
        <v>51.15</v>
      </c>
      <c r="I99" s="1">
        <v>511500</v>
      </c>
      <c r="J99" s="1">
        <v>0</v>
      </c>
      <c r="K99" s="1">
        <v>0</v>
      </c>
      <c r="L99" s="1">
        <f t="shared" si="9"/>
        <v>0</v>
      </c>
    </row>
    <row r="100" spans="1:12" x14ac:dyDescent="0.25">
      <c r="A100" s="1">
        <f t="shared" si="5"/>
        <v>51.7</v>
      </c>
      <c r="B100" s="1">
        <v>517000</v>
      </c>
      <c r="C100" s="1">
        <v>0</v>
      </c>
      <c r="D100" s="1">
        <v>0</v>
      </c>
      <c r="E100" s="1">
        <f t="shared" si="6"/>
        <v>0</v>
      </c>
      <c r="F100" s="1">
        <f t="shared" si="7"/>
        <v>0</v>
      </c>
      <c r="H100" s="1">
        <f t="shared" si="8"/>
        <v>51.7</v>
      </c>
      <c r="I100" s="1">
        <v>517000</v>
      </c>
      <c r="J100" s="1">
        <v>0</v>
      </c>
      <c r="K100" s="1">
        <v>0</v>
      </c>
      <c r="L100" s="1">
        <f t="shared" si="9"/>
        <v>0</v>
      </c>
    </row>
    <row r="101" spans="1:12" x14ac:dyDescent="0.25">
      <c r="A101" s="1">
        <f t="shared" si="5"/>
        <v>52.25</v>
      </c>
      <c r="B101" s="1">
        <v>522500</v>
      </c>
      <c r="C101" s="1">
        <v>0</v>
      </c>
      <c r="D101" s="1">
        <v>0</v>
      </c>
      <c r="E101" s="1">
        <f t="shared" si="6"/>
        <v>0</v>
      </c>
      <c r="F101" s="1">
        <f t="shared" si="7"/>
        <v>0</v>
      </c>
      <c r="H101" s="1">
        <f t="shared" si="8"/>
        <v>52.25</v>
      </c>
      <c r="I101" s="1">
        <v>522500</v>
      </c>
      <c r="J101" s="1">
        <v>0</v>
      </c>
      <c r="K101" s="1">
        <v>0</v>
      </c>
      <c r="L101" s="1">
        <f t="shared" si="9"/>
        <v>0</v>
      </c>
    </row>
    <row r="102" spans="1:12" x14ac:dyDescent="0.25">
      <c r="A102" s="1">
        <f t="shared" si="5"/>
        <v>52.8</v>
      </c>
      <c r="B102" s="1">
        <v>528000</v>
      </c>
      <c r="C102" s="1">
        <v>0</v>
      </c>
      <c r="D102" s="1">
        <v>0</v>
      </c>
      <c r="E102" s="1">
        <f t="shared" si="6"/>
        <v>0</v>
      </c>
      <c r="F102" s="1">
        <f t="shared" si="7"/>
        <v>0</v>
      </c>
      <c r="H102" s="1">
        <f t="shared" si="8"/>
        <v>52.8</v>
      </c>
      <c r="I102" s="1">
        <v>528000</v>
      </c>
      <c r="J102" s="1">
        <v>0</v>
      </c>
      <c r="K102" s="1">
        <v>0</v>
      </c>
      <c r="L102" s="1">
        <f t="shared" si="9"/>
        <v>0</v>
      </c>
    </row>
    <row r="103" spans="1:12" x14ac:dyDescent="0.25">
      <c r="A103" s="1">
        <f t="shared" si="5"/>
        <v>53.35</v>
      </c>
      <c r="B103" s="1">
        <v>533500</v>
      </c>
      <c r="C103" s="1">
        <v>0</v>
      </c>
      <c r="D103" s="1">
        <v>0</v>
      </c>
      <c r="E103" s="1">
        <f t="shared" si="6"/>
        <v>0</v>
      </c>
      <c r="F103" s="1">
        <f t="shared" si="7"/>
        <v>0</v>
      </c>
      <c r="H103" s="1">
        <f t="shared" si="8"/>
        <v>53.35</v>
      </c>
      <c r="I103" s="1">
        <v>533500</v>
      </c>
      <c r="J103" s="1">
        <v>0</v>
      </c>
      <c r="K103" s="1">
        <v>0</v>
      </c>
      <c r="L103" s="1">
        <f t="shared" si="9"/>
        <v>0</v>
      </c>
    </row>
    <row r="104" spans="1:12" x14ac:dyDescent="0.25">
      <c r="A104" s="1">
        <f t="shared" si="5"/>
        <v>53.9</v>
      </c>
      <c r="B104" s="1">
        <v>539000</v>
      </c>
      <c r="C104" s="1">
        <v>0</v>
      </c>
      <c r="D104" s="1">
        <v>0</v>
      </c>
      <c r="E104" s="1">
        <f t="shared" si="6"/>
        <v>0</v>
      </c>
      <c r="F104" s="1">
        <f t="shared" si="7"/>
        <v>0</v>
      </c>
      <c r="H104" s="1">
        <f t="shared" si="8"/>
        <v>53.9</v>
      </c>
      <c r="I104" s="1">
        <v>539000</v>
      </c>
      <c r="J104" s="1">
        <v>0</v>
      </c>
      <c r="K104" s="1">
        <v>0</v>
      </c>
      <c r="L104" s="1">
        <f t="shared" si="9"/>
        <v>0</v>
      </c>
    </row>
    <row r="105" spans="1:12" x14ac:dyDescent="0.25">
      <c r="A105" s="1">
        <f t="shared" si="5"/>
        <v>54.45</v>
      </c>
      <c r="B105" s="1">
        <v>544500</v>
      </c>
      <c r="C105" s="1">
        <v>0</v>
      </c>
      <c r="D105" s="1">
        <v>0</v>
      </c>
      <c r="E105" s="1">
        <f t="shared" si="6"/>
        <v>0</v>
      </c>
      <c r="F105" s="1">
        <f t="shared" si="7"/>
        <v>0</v>
      </c>
      <c r="H105" s="1">
        <f t="shared" si="8"/>
        <v>54.45</v>
      </c>
      <c r="I105" s="1">
        <v>544500</v>
      </c>
      <c r="J105" s="1">
        <v>0</v>
      </c>
      <c r="K105" s="1">
        <v>0</v>
      </c>
      <c r="L105" s="1">
        <f t="shared" si="9"/>
        <v>0</v>
      </c>
    </row>
    <row r="106" spans="1:12" x14ac:dyDescent="0.25">
      <c r="A106" s="1">
        <f t="shared" si="5"/>
        <v>55</v>
      </c>
      <c r="B106" s="1">
        <v>550000</v>
      </c>
      <c r="C106" s="1">
        <v>0</v>
      </c>
      <c r="D106" s="1">
        <v>0</v>
      </c>
      <c r="E106" s="1">
        <f t="shared" si="6"/>
        <v>0</v>
      </c>
      <c r="F106" s="1">
        <f t="shared" si="7"/>
        <v>0</v>
      </c>
      <c r="H106" s="1">
        <f t="shared" si="8"/>
        <v>55</v>
      </c>
      <c r="I106" s="1">
        <v>550000</v>
      </c>
      <c r="J106" s="1">
        <v>0</v>
      </c>
      <c r="K106" s="1">
        <v>0</v>
      </c>
      <c r="L106" s="1">
        <f t="shared" si="9"/>
        <v>0</v>
      </c>
    </row>
    <row r="107" spans="1:12" x14ac:dyDescent="0.25">
      <c r="E10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2025-07-15T15:01:46Z</dcterms:modified>
</cp:coreProperties>
</file>