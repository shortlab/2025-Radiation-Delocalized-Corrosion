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ande\MIT Dropbox\Wande Cairang\MIT research\Metal RAC\Fe-20Cr\Draft\GitHub\SRIM\Fe-20Cr\"/>
    </mc:Choice>
  </mc:AlternateContent>
  <xr:revisionPtr revIDLastSave="0" documentId="13_ncr:1_{7E01BE53-7FE4-4809-A4E6-9D5C64883D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I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5" i="1"/>
  <c r="B3" i="1"/>
  <c r="B2" i="1"/>
</calcChain>
</file>

<file path=xl/sharedStrings.xml><?xml version="1.0" encoding="utf-8"?>
<sst xmlns="http://schemas.openxmlformats.org/spreadsheetml/2006/main" count="27" uniqueCount="19">
  <si>
    <t xml:space="preserve">beam current density(uA/cm2) </t>
  </si>
  <si>
    <t>TARGET</t>
  </si>
  <si>
    <t>VACANCIES</t>
  </si>
  <si>
    <t>DEPTH</t>
  </si>
  <si>
    <t>by</t>
  </si>
  <si>
    <t>(Ang.)</t>
  </si>
  <si>
    <t>IONS</t>
  </si>
  <si>
    <t>RECOILS</t>
  </si>
  <si>
    <t>-----------</t>
  </si>
  <si>
    <t>------------</t>
  </si>
  <si>
    <t>distance in um</t>
  </si>
  <si>
    <t>total damage</t>
  </si>
  <si>
    <t xml:space="preserve">dose rate </t>
  </si>
  <si>
    <t>H</t>
  </si>
  <si>
    <t>Recoil</t>
  </si>
  <si>
    <t>Ions</t>
  </si>
  <si>
    <t>Distribution</t>
  </si>
  <si>
    <t>----------</t>
  </si>
  <si>
    <t>concentration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</si>
</sst>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4"/>
  <sheetViews>
    <sheetView tabSelected="1" topLeftCell="B1" zoomScale="145" zoomScaleNormal="145" workbookViewId="0">
      <selection activeCell="J5" sqref="J5"/>
    </sheetView>
  </sheetViews>
  <sheetFormatPr defaultRowHeight="15" x14ac:dyDescent="0.25"/>
  <cols>
    <col min="1" max="1" width="32.28515625" customWidth="1"/>
    <col min="2" max="2" width="18.85546875" customWidth="1"/>
    <col min="4" max="4" width="12" customWidth="1"/>
    <col min="8" max="8" width="13.42578125" customWidth="1"/>
    <col min="15" max="15" width="15" customWidth="1"/>
    <col min="16" max="16" width="13.85546875" customWidth="1"/>
  </cols>
  <sheetData>
    <row r="1" spans="1:16" x14ac:dyDescent="0.25">
      <c r="A1" t="s">
        <v>0</v>
      </c>
      <c r="B1">
        <v>0.4</v>
      </c>
      <c r="D1" t="s">
        <v>1</v>
      </c>
      <c r="E1" t="s">
        <v>2</v>
      </c>
      <c r="F1" t="s">
        <v>2</v>
      </c>
    </row>
    <row r="2" spans="1:16" x14ac:dyDescent="0.25">
      <c r="B2">
        <f>6.25*10^18</f>
        <v>6.25E+18</v>
      </c>
      <c r="D2" t="s">
        <v>3</v>
      </c>
      <c r="E2" t="s">
        <v>4</v>
      </c>
      <c r="F2" t="s">
        <v>4</v>
      </c>
      <c r="L2" t="s">
        <v>3</v>
      </c>
      <c r="M2" t="s">
        <v>13</v>
      </c>
      <c r="N2" t="s">
        <v>14</v>
      </c>
    </row>
    <row r="3" spans="1:16" x14ac:dyDescent="0.25">
      <c r="B3">
        <f>8.38*10^22</f>
        <v>8.380000000000001E+22</v>
      </c>
      <c r="D3" t="s">
        <v>5</v>
      </c>
      <c r="E3" t="s">
        <v>6</v>
      </c>
      <c r="F3" t="s">
        <v>7</v>
      </c>
      <c r="L3" t="s">
        <v>5</v>
      </c>
      <c r="M3" t="s">
        <v>15</v>
      </c>
      <c r="N3" t="s">
        <v>16</v>
      </c>
    </row>
    <row r="4" spans="1:16" x14ac:dyDescent="0.25">
      <c r="D4" t="s">
        <v>8</v>
      </c>
      <c r="E4" t="s">
        <v>8</v>
      </c>
      <c r="F4" t="s">
        <v>9</v>
      </c>
      <c r="H4" t="s">
        <v>10</v>
      </c>
      <c r="I4" t="s">
        <v>11</v>
      </c>
      <c r="J4" t="s">
        <v>12</v>
      </c>
      <c r="L4" t="s">
        <v>8</v>
      </c>
      <c r="M4" t="s">
        <v>17</v>
      </c>
      <c r="N4" t="s">
        <v>9</v>
      </c>
      <c r="O4" t="s">
        <v>10</v>
      </c>
      <c r="P4" t="s">
        <v>18</v>
      </c>
    </row>
    <row r="5" spans="1:16" x14ac:dyDescent="0.25">
      <c r="D5" s="1">
        <v>5500.01</v>
      </c>
      <c r="E5" s="1">
        <v>1.31489E-6</v>
      </c>
      <c r="F5" s="1">
        <v>3.1572200000000002E-6</v>
      </c>
      <c r="H5" s="1">
        <f>D5/10000</f>
        <v>0.55000100000000007</v>
      </c>
      <c r="I5" s="1">
        <f>E5+F5</f>
        <v>4.4721099999999998E-6</v>
      </c>
      <c r="J5" s="1">
        <f>I5*10^8*$B$1*10^-6*$B$2/($B$3)</f>
        <v>1.3341616945107396E-8</v>
      </c>
      <c r="L5" s="1">
        <v>5500.01</v>
      </c>
      <c r="M5" s="1">
        <v>0.26905000000000001</v>
      </c>
      <c r="N5" s="1">
        <v>0</v>
      </c>
      <c r="O5" s="1">
        <f>L5/10000</f>
        <v>0.55000100000000007</v>
      </c>
      <c r="P5" s="1">
        <f>M5*$B$1*10^-6*$B$2/($B$3)*100</f>
        <v>8.0265513126491634E-10</v>
      </c>
    </row>
    <row r="6" spans="1:16" x14ac:dyDescent="0.25">
      <c r="D6" s="1">
        <v>11000</v>
      </c>
      <c r="E6" s="1">
        <v>4.9127000000000004E-6</v>
      </c>
      <c r="F6" s="1">
        <v>1.27067E-5</v>
      </c>
      <c r="H6" s="1">
        <f t="shared" ref="H6:H69" si="0">D6/10000</f>
        <v>1.1000000000000001</v>
      </c>
      <c r="I6" s="1">
        <f t="shared" ref="I6:I69" si="1">E6+F6</f>
        <v>1.7619399999999999E-5</v>
      </c>
      <c r="J6" s="1">
        <f t="shared" ref="J6:J69" si="2">I6*10^8*$B$1*10^-6*$B$2/($B$3)</f>
        <v>5.2563842482100226E-8</v>
      </c>
      <c r="L6" s="1">
        <v>11000</v>
      </c>
      <c r="M6" s="1">
        <v>0.26905000000000001</v>
      </c>
      <c r="N6" s="1">
        <v>0</v>
      </c>
      <c r="O6" s="1">
        <f t="shared" ref="O6:O69" si="3">L6/10000</f>
        <v>1.1000000000000001</v>
      </c>
      <c r="P6" s="1">
        <f t="shared" ref="P6:P69" si="4">M6*$B$1*10^-6*$B$2/($B$3)*100</f>
        <v>8.0265513126491634E-10</v>
      </c>
    </row>
    <row r="7" spans="1:16" x14ac:dyDescent="0.25">
      <c r="D7" s="1">
        <v>16500</v>
      </c>
      <c r="E7" s="1">
        <v>3.7457E-6</v>
      </c>
      <c r="F7" s="1">
        <v>5.2932200000000001E-6</v>
      </c>
      <c r="H7" s="1">
        <f t="shared" si="0"/>
        <v>1.65</v>
      </c>
      <c r="I7" s="1">
        <f t="shared" si="1"/>
        <v>9.0389200000000005E-6</v>
      </c>
      <c r="J7" s="1">
        <f t="shared" si="2"/>
        <v>2.6965751789976138E-8</v>
      </c>
      <c r="L7" s="1">
        <v>16500</v>
      </c>
      <c r="M7" s="1">
        <v>0</v>
      </c>
      <c r="N7" s="1">
        <v>0</v>
      </c>
      <c r="O7" s="1">
        <f t="shared" si="3"/>
        <v>1.65</v>
      </c>
      <c r="P7" s="1">
        <f t="shared" si="4"/>
        <v>0</v>
      </c>
    </row>
    <row r="8" spans="1:16" x14ac:dyDescent="0.25">
      <c r="D8" s="1">
        <v>22000</v>
      </c>
      <c r="E8" s="1">
        <v>4.5443099999999997E-6</v>
      </c>
      <c r="F8" s="1">
        <v>1.36553E-5</v>
      </c>
      <c r="H8" s="1">
        <f t="shared" si="0"/>
        <v>2.2000000000000002</v>
      </c>
      <c r="I8" s="1">
        <f t="shared" si="1"/>
        <v>1.8199609999999998E-5</v>
      </c>
      <c r="J8" s="1">
        <f t="shared" si="2"/>
        <v>5.4294779236276833E-8</v>
      </c>
      <c r="L8" s="1">
        <v>22000</v>
      </c>
      <c r="M8" s="1">
        <v>0</v>
      </c>
      <c r="N8" s="1">
        <v>0</v>
      </c>
      <c r="O8" s="1">
        <f t="shared" si="3"/>
        <v>2.2000000000000002</v>
      </c>
      <c r="P8" s="1">
        <f t="shared" si="4"/>
        <v>0</v>
      </c>
    </row>
    <row r="9" spans="1:16" x14ac:dyDescent="0.25">
      <c r="D9" s="1">
        <v>27500</v>
      </c>
      <c r="E9" s="1">
        <v>5.0175699999999996E-6</v>
      </c>
      <c r="F9" s="1">
        <v>1.00408E-5</v>
      </c>
      <c r="H9" s="1">
        <f t="shared" si="0"/>
        <v>2.75</v>
      </c>
      <c r="I9" s="1">
        <f t="shared" si="1"/>
        <v>1.5058369999999999E-5</v>
      </c>
      <c r="J9" s="1">
        <f t="shared" si="2"/>
        <v>4.492353818615751E-8</v>
      </c>
      <c r="L9" s="1">
        <v>27500</v>
      </c>
      <c r="M9" s="1">
        <v>0.26905000000000001</v>
      </c>
      <c r="N9" s="1">
        <v>0</v>
      </c>
      <c r="O9" s="1">
        <f t="shared" si="3"/>
        <v>2.75</v>
      </c>
      <c r="P9" s="1">
        <f t="shared" si="4"/>
        <v>8.0265513126491634E-10</v>
      </c>
    </row>
    <row r="10" spans="1:16" x14ac:dyDescent="0.25">
      <c r="D10" s="1">
        <v>33000</v>
      </c>
      <c r="E10" s="1">
        <v>5.0363899999999999E-6</v>
      </c>
      <c r="F10" s="1">
        <v>1.19379E-5</v>
      </c>
      <c r="H10" s="1">
        <f t="shared" si="0"/>
        <v>3.3</v>
      </c>
      <c r="I10" s="1">
        <f t="shared" si="1"/>
        <v>1.697429E-5</v>
      </c>
      <c r="J10" s="1">
        <f t="shared" si="2"/>
        <v>5.063928997613365E-8</v>
      </c>
      <c r="L10" s="1">
        <v>33000</v>
      </c>
      <c r="M10" s="1">
        <v>0.26905000000000001</v>
      </c>
      <c r="N10" s="1">
        <v>0</v>
      </c>
      <c r="O10" s="1">
        <f t="shared" si="3"/>
        <v>3.3</v>
      </c>
      <c r="P10" s="1">
        <f t="shared" si="4"/>
        <v>8.0265513126491634E-10</v>
      </c>
    </row>
    <row r="11" spans="1:16" x14ac:dyDescent="0.25">
      <c r="D11" s="1">
        <v>38500</v>
      </c>
      <c r="E11" s="1">
        <v>5.0471399999999998E-6</v>
      </c>
      <c r="F11" s="1">
        <v>1.04424E-5</v>
      </c>
      <c r="H11" s="1">
        <f t="shared" si="0"/>
        <v>3.85</v>
      </c>
      <c r="I11" s="1">
        <f t="shared" si="1"/>
        <v>1.5489540000000001E-5</v>
      </c>
      <c r="J11" s="1">
        <f t="shared" si="2"/>
        <v>4.6209844868735081E-8</v>
      </c>
      <c r="L11" s="1">
        <v>38500</v>
      </c>
      <c r="M11" s="1">
        <v>0.26905000000000001</v>
      </c>
      <c r="N11" s="1">
        <v>0</v>
      </c>
      <c r="O11" s="1">
        <f t="shared" si="3"/>
        <v>3.85</v>
      </c>
      <c r="P11" s="1">
        <f t="shared" si="4"/>
        <v>8.0265513126491634E-10</v>
      </c>
    </row>
    <row r="12" spans="1:16" x14ac:dyDescent="0.25">
      <c r="D12" s="1">
        <v>44000</v>
      </c>
      <c r="E12" s="1">
        <v>5.1466300000000004E-6</v>
      </c>
      <c r="F12" s="1">
        <v>1.306E-5</v>
      </c>
      <c r="H12" s="1">
        <f t="shared" si="0"/>
        <v>4.4000000000000004</v>
      </c>
      <c r="I12" s="1">
        <f t="shared" si="1"/>
        <v>1.8206630000000002E-5</v>
      </c>
      <c r="J12" s="1">
        <f t="shared" si="2"/>
        <v>5.4315721957040579E-8</v>
      </c>
      <c r="L12" s="1">
        <v>44000</v>
      </c>
      <c r="M12" s="1">
        <v>0.26905000000000001</v>
      </c>
      <c r="N12" s="1">
        <v>0</v>
      </c>
      <c r="O12" s="1">
        <f t="shared" si="3"/>
        <v>4.4000000000000004</v>
      </c>
      <c r="P12" s="1">
        <f t="shared" si="4"/>
        <v>8.0265513126491634E-10</v>
      </c>
    </row>
    <row r="13" spans="1:16" x14ac:dyDescent="0.25">
      <c r="D13" s="1">
        <v>49500</v>
      </c>
      <c r="E13" s="1">
        <v>5.1466300000000004E-6</v>
      </c>
      <c r="F13" s="1">
        <v>9.74189E-6</v>
      </c>
      <c r="H13" s="1">
        <f t="shared" si="0"/>
        <v>4.95</v>
      </c>
      <c r="I13" s="1">
        <f t="shared" si="1"/>
        <v>1.488852E-5</v>
      </c>
      <c r="J13" s="1">
        <f t="shared" si="2"/>
        <v>4.4416825775656313E-8</v>
      </c>
      <c r="L13" s="1">
        <v>49500</v>
      </c>
      <c r="M13" s="1">
        <v>0</v>
      </c>
      <c r="N13" s="1">
        <v>0</v>
      </c>
      <c r="O13" s="1">
        <f t="shared" si="3"/>
        <v>4.95</v>
      </c>
      <c r="P13" s="1">
        <f t="shared" si="4"/>
        <v>0</v>
      </c>
    </row>
    <row r="14" spans="1:16" x14ac:dyDescent="0.25">
      <c r="D14" s="1">
        <v>55000</v>
      </c>
      <c r="E14" s="1">
        <v>5.3751899999999999E-6</v>
      </c>
      <c r="F14" s="1">
        <v>1.0389E-5</v>
      </c>
      <c r="H14" s="1">
        <f t="shared" si="0"/>
        <v>5.5</v>
      </c>
      <c r="I14" s="1">
        <f t="shared" si="1"/>
        <v>1.576419E-5</v>
      </c>
      <c r="J14" s="1">
        <f t="shared" si="2"/>
        <v>4.7029206443914082E-8</v>
      </c>
      <c r="L14" s="1">
        <v>55000</v>
      </c>
      <c r="M14" s="1">
        <v>0.26905000000000001</v>
      </c>
      <c r="N14" s="1">
        <v>0</v>
      </c>
      <c r="O14" s="1">
        <f t="shared" si="3"/>
        <v>5.5</v>
      </c>
      <c r="P14" s="1">
        <f t="shared" si="4"/>
        <v>8.0265513126491634E-10</v>
      </c>
    </row>
    <row r="15" spans="1:16" x14ac:dyDescent="0.25">
      <c r="D15" s="1">
        <v>60500</v>
      </c>
      <c r="E15" s="1">
        <v>5.4262800000000003E-6</v>
      </c>
      <c r="F15" s="1">
        <v>1.2765899999999999E-5</v>
      </c>
      <c r="H15" s="1">
        <f t="shared" si="0"/>
        <v>6.05</v>
      </c>
      <c r="I15" s="1">
        <f t="shared" si="1"/>
        <v>1.819218E-5</v>
      </c>
      <c r="J15" s="1">
        <f t="shared" si="2"/>
        <v>5.4272613365155127E-8</v>
      </c>
      <c r="L15" s="1">
        <v>60500</v>
      </c>
      <c r="M15" s="1">
        <v>0</v>
      </c>
      <c r="N15" s="1">
        <v>0</v>
      </c>
      <c r="O15" s="1">
        <f t="shared" si="3"/>
        <v>6.05</v>
      </c>
      <c r="P15" s="1">
        <f t="shared" si="4"/>
        <v>0</v>
      </c>
    </row>
    <row r="16" spans="1:16" x14ac:dyDescent="0.25">
      <c r="D16" s="1">
        <v>66000</v>
      </c>
      <c r="E16" s="1">
        <v>5.4343499999999999E-6</v>
      </c>
      <c r="F16" s="1">
        <v>1.19966E-5</v>
      </c>
      <c r="H16" s="1">
        <f t="shared" si="0"/>
        <v>6.6</v>
      </c>
      <c r="I16" s="1">
        <f t="shared" si="1"/>
        <v>1.743095E-5</v>
      </c>
      <c r="J16" s="1">
        <f t="shared" si="2"/>
        <v>5.2001640811455839E-8</v>
      </c>
      <c r="L16" s="1">
        <v>66000</v>
      </c>
      <c r="M16" s="1">
        <v>0</v>
      </c>
      <c r="N16" s="1">
        <v>0</v>
      </c>
      <c r="O16" s="1">
        <f t="shared" si="3"/>
        <v>6.6</v>
      </c>
      <c r="P16" s="1">
        <f t="shared" si="4"/>
        <v>0</v>
      </c>
    </row>
    <row r="17" spans="4:16" x14ac:dyDescent="0.25">
      <c r="D17" s="1">
        <v>71500</v>
      </c>
      <c r="E17" s="1">
        <v>5.3644400000000001E-6</v>
      </c>
      <c r="F17" s="1">
        <v>1.40733E-5</v>
      </c>
      <c r="H17" s="1">
        <f t="shared" si="0"/>
        <v>7.15</v>
      </c>
      <c r="I17" s="1">
        <f t="shared" si="1"/>
        <v>1.9437740000000001E-5</v>
      </c>
      <c r="J17" s="1">
        <f t="shared" si="2"/>
        <v>5.7988484486873511E-8</v>
      </c>
      <c r="L17" s="1">
        <v>71500</v>
      </c>
      <c r="M17" s="1">
        <v>0.26905000000000001</v>
      </c>
      <c r="N17" s="1">
        <v>0</v>
      </c>
      <c r="O17" s="1">
        <f t="shared" si="3"/>
        <v>7.15</v>
      </c>
      <c r="P17" s="1">
        <f t="shared" si="4"/>
        <v>8.0265513126491634E-10</v>
      </c>
    </row>
    <row r="18" spans="4:16" x14ac:dyDescent="0.25">
      <c r="D18" s="1">
        <v>77000</v>
      </c>
      <c r="E18" s="1">
        <v>5.7328200000000001E-6</v>
      </c>
      <c r="F18" s="1">
        <v>8.9260099999999996E-6</v>
      </c>
      <c r="H18" s="1">
        <f t="shared" si="0"/>
        <v>7.7</v>
      </c>
      <c r="I18" s="1">
        <f t="shared" si="1"/>
        <v>1.465883E-5</v>
      </c>
      <c r="J18" s="1">
        <f t="shared" si="2"/>
        <v>4.3731593078758947E-8</v>
      </c>
      <c r="L18" s="1">
        <v>77000</v>
      </c>
      <c r="M18" s="1">
        <v>0</v>
      </c>
      <c r="N18" s="1">
        <v>0</v>
      </c>
      <c r="O18" s="1">
        <f t="shared" si="3"/>
        <v>7.7</v>
      </c>
      <c r="P18" s="1">
        <f t="shared" si="4"/>
        <v>0</v>
      </c>
    </row>
    <row r="19" spans="4:16" x14ac:dyDescent="0.25">
      <c r="D19" s="1">
        <v>82500</v>
      </c>
      <c r="E19" s="1">
        <v>5.6763600000000001E-6</v>
      </c>
      <c r="F19" s="1">
        <v>1.1789399999999999E-5</v>
      </c>
      <c r="H19" s="1">
        <f t="shared" si="0"/>
        <v>8.25</v>
      </c>
      <c r="I19" s="1">
        <f t="shared" si="1"/>
        <v>1.7465759999999999E-5</v>
      </c>
      <c r="J19" s="1">
        <f t="shared" si="2"/>
        <v>5.210548926014319E-8</v>
      </c>
      <c r="L19" s="1">
        <v>82500</v>
      </c>
      <c r="M19" s="1">
        <v>0</v>
      </c>
      <c r="N19" s="1">
        <v>0</v>
      </c>
      <c r="O19" s="1">
        <f t="shared" si="3"/>
        <v>8.25</v>
      </c>
      <c r="P19" s="1">
        <f t="shared" si="4"/>
        <v>0</v>
      </c>
    </row>
    <row r="20" spans="4:16" x14ac:dyDescent="0.25">
      <c r="D20" s="1">
        <v>88000</v>
      </c>
      <c r="E20" s="1">
        <v>5.6629100000000003E-6</v>
      </c>
      <c r="F20" s="1">
        <v>9.4561599999999999E-6</v>
      </c>
      <c r="H20" s="1">
        <f t="shared" si="0"/>
        <v>8.8000000000000007</v>
      </c>
      <c r="I20" s="1">
        <f t="shared" si="1"/>
        <v>1.511907E-5</v>
      </c>
      <c r="J20" s="1">
        <f t="shared" si="2"/>
        <v>4.5104624105011921E-8</v>
      </c>
      <c r="L20" s="1">
        <v>88000</v>
      </c>
      <c r="M20" s="1">
        <v>0.53810000000000002</v>
      </c>
      <c r="N20" s="1">
        <v>0</v>
      </c>
      <c r="O20" s="1">
        <f t="shared" si="3"/>
        <v>8.8000000000000007</v>
      </c>
      <c r="P20" s="1">
        <f t="shared" si="4"/>
        <v>1.6053102625298327E-9</v>
      </c>
    </row>
    <row r="21" spans="4:16" x14ac:dyDescent="0.25">
      <c r="D21" s="1">
        <v>93500</v>
      </c>
      <c r="E21" s="1">
        <v>5.70325E-6</v>
      </c>
      <c r="F21" s="1">
        <v>9.9068600000000006E-6</v>
      </c>
      <c r="H21" s="1">
        <f t="shared" si="0"/>
        <v>9.35</v>
      </c>
      <c r="I21" s="1">
        <f t="shared" si="1"/>
        <v>1.5610110000000002E-5</v>
      </c>
      <c r="J21" s="1">
        <f t="shared" si="2"/>
        <v>4.6569540572792364E-8</v>
      </c>
      <c r="L21" s="1">
        <v>93500</v>
      </c>
      <c r="M21" s="1">
        <v>0.26905000000000001</v>
      </c>
      <c r="N21" s="1">
        <v>0</v>
      </c>
      <c r="O21" s="1">
        <f t="shared" si="3"/>
        <v>9.35</v>
      </c>
      <c r="P21" s="1">
        <f t="shared" si="4"/>
        <v>8.0265513126491634E-10</v>
      </c>
    </row>
    <row r="22" spans="4:16" x14ac:dyDescent="0.25">
      <c r="D22" s="1">
        <v>99000</v>
      </c>
      <c r="E22" s="1">
        <v>5.8860899999999996E-6</v>
      </c>
      <c r="F22" s="1">
        <v>9.3692800000000005E-6</v>
      </c>
      <c r="H22" s="1">
        <f t="shared" si="0"/>
        <v>9.9</v>
      </c>
      <c r="I22" s="1">
        <f t="shared" si="1"/>
        <v>1.5255370000000001E-5</v>
      </c>
      <c r="J22" s="1">
        <f t="shared" si="2"/>
        <v>4.551124701670644E-8</v>
      </c>
      <c r="L22" s="1">
        <v>99000</v>
      </c>
      <c r="M22" s="1">
        <v>0</v>
      </c>
      <c r="N22" s="1">
        <v>0</v>
      </c>
      <c r="O22" s="1">
        <f t="shared" si="3"/>
        <v>9.9</v>
      </c>
      <c r="P22" s="1">
        <f t="shared" si="4"/>
        <v>0</v>
      </c>
    </row>
    <row r="23" spans="4:16" x14ac:dyDescent="0.25">
      <c r="D23" s="1">
        <v>104500</v>
      </c>
      <c r="E23" s="1">
        <v>5.9748300000000004E-6</v>
      </c>
      <c r="F23" s="1">
        <v>1.00258E-5</v>
      </c>
      <c r="H23" s="1">
        <f t="shared" si="0"/>
        <v>10.45</v>
      </c>
      <c r="I23" s="1">
        <f t="shared" si="1"/>
        <v>1.6000629999999999E-5</v>
      </c>
      <c r="J23" s="1">
        <f t="shared" si="2"/>
        <v>4.7734576372315027E-8</v>
      </c>
      <c r="L23" s="1">
        <v>104500</v>
      </c>
      <c r="M23" s="1">
        <v>0.80715000000000003</v>
      </c>
      <c r="N23" s="1">
        <v>0</v>
      </c>
      <c r="O23" s="1">
        <f t="shared" si="3"/>
        <v>10.45</v>
      </c>
      <c r="P23" s="1">
        <f t="shared" si="4"/>
        <v>2.4079653937947496E-9</v>
      </c>
    </row>
    <row r="24" spans="4:16" x14ac:dyDescent="0.25">
      <c r="D24" s="1">
        <v>110000</v>
      </c>
      <c r="E24" s="1">
        <v>6.1092800000000004E-6</v>
      </c>
      <c r="F24" s="1">
        <v>1.0793499999999999E-5</v>
      </c>
      <c r="H24" s="1">
        <f t="shared" si="0"/>
        <v>11</v>
      </c>
      <c r="I24" s="1">
        <f t="shared" si="1"/>
        <v>1.6902779999999999E-5</v>
      </c>
      <c r="J24" s="1">
        <f t="shared" si="2"/>
        <v>5.0425954653937933E-8</v>
      </c>
      <c r="L24" s="1">
        <v>110000</v>
      </c>
      <c r="M24" s="1">
        <v>0.26905000000000001</v>
      </c>
      <c r="N24" s="1">
        <v>0</v>
      </c>
      <c r="O24" s="1">
        <f t="shared" si="3"/>
        <v>11</v>
      </c>
      <c r="P24" s="1">
        <f t="shared" si="4"/>
        <v>8.0265513126491634E-10</v>
      </c>
    </row>
    <row r="25" spans="4:16" x14ac:dyDescent="0.25">
      <c r="D25" s="1">
        <v>115500</v>
      </c>
      <c r="E25" s="1">
        <v>6.0770100000000003E-6</v>
      </c>
      <c r="F25" s="1">
        <v>1.65629E-5</v>
      </c>
      <c r="H25" s="1">
        <f t="shared" si="0"/>
        <v>11.55</v>
      </c>
      <c r="I25" s="1">
        <f t="shared" si="1"/>
        <v>2.2639910000000001E-5</v>
      </c>
      <c r="J25" s="1">
        <f t="shared" si="2"/>
        <v>6.7541497613365143E-8</v>
      </c>
      <c r="L25" s="1">
        <v>115500</v>
      </c>
      <c r="M25" s="1">
        <v>0.53810000000000002</v>
      </c>
      <c r="N25" s="1">
        <v>0</v>
      </c>
      <c r="O25" s="1">
        <f t="shared" si="3"/>
        <v>11.55</v>
      </c>
      <c r="P25" s="1">
        <f t="shared" si="4"/>
        <v>1.6053102625298327E-9</v>
      </c>
    </row>
    <row r="26" spans="4:16" x14ac:dyDescent="0.25">
      <c r="D26" s="1">
        <v>121000</v>
      </c>
      <c r="E26" s="1">
        <v>6.1818800000000003E-6</v>
      </c>
      <c r="F26" s="1">
        <v>1.46862E-5</v>
      </c>
      <c r="H26" s="1">
        <f t="shared" si="0"/>
        <v>12.1</v>
      </c>
      <c r="I26" s="1">
        <f t="shared" si="1"/>
        <v>2.086808E-5</v>
      </c>
      <c r="J26" s="1">
        <f t="shared" si="2"/>
        <v>6.225560859188544E-8</v>
      </c>
      <c r="L26" s="1">
        <v>121000</v>
      </c>
      <c r="M26" s="1">
        <v>0.53810000000000002</v>
      </c>
      <c r="N26" s="1">
        <v>0</v>
      </c>
      <c r="O26" s="1">
        <f t="shared" si="3"/>
        <v>12.1</v>
      </c>
      <c r="P26" s="1">
        <f t="shared" si="4"/>
        <v>1.6053102625298327E-9</v>
      </c>
    </row>
    <row r="27" spans="4:16" x14ac:dyDescent="0.25">
      <c r="D27" s="1">
        <v>126500</v>
      </c>
      <c r="E27" s="1">
        <v>6.1953200000000003E-6</v>
      </c>
      <c r="F27" s="1">
        <v>1.23968E-5</v>
      </c>
      <c r="H27" s="1">
        <f t="shared" si="0"/>
        <v>12.65</v>
      </c>
      <c r="I27" s="1">
        <f t="shared" si="1"/>
        <v>1.8592119999999999E-5</v>
      </c>
      <c r="J27" s="1">
        <f t="shared" si="2"/>
        <v>5.5465751789976125E-8</v>
      </c>
      <c r="L27" s="1">
        <v>126500</v>
      </c>
      <c r="M27" s="1">
        <v>0.26905000000000001</v>
      </c>
      <c r="N27" s="1">
        <v>0</v>
      </c>
      <c r="O27" s="1">
        <f t="shared" si="3"/>
        <v>12.65</v>
      </c>
      <c r="P27" s="1">
        <f t="shared" si="4"/>
        <v>8.0265513126491634E-10</v>
      </c>
    </row>
    <row r="28" spans="4:16" x14ac:dyDescent="0.25">
      <c r="D28" s="1">
        <v>132000</v>
      </c>
      <c r="E28" s="1">
        <v>6.2894399999999997E-6</v>
      </c>
      <c r="F28" s="1">
        <v>1.6130600000000001E-5</v>
      </c>
      <c r="H28" s="1">
        <f t="shared" si="0"/>
        <v>13.2</v>
      </c>
      <c r="I28" s="1">
        <f t="shared" si="1"/>
        <v>2.2420040000000002E-5</v>
      </c>
      <c r="J28" s="1">
        <f t="shared" si="2"/>
        <v>6.6885560859188545E-8</v>
      </c>
      <c r="L28" s="1">
        <v>132000</v>
      </c>
      <c r="M28" s="1">
        <v>0.53810000000000002</v>
      </c>
      <c r="N28" s="1">
        <v>0</v>
      </c>
      <c r="O28" s="1">
        <f t="shared" si="3"/>
        <v>13.2</v>
      </c>
      <c r="P28" s="1">
        <f t="shared" si="4"/>
        <v>1.6053102625298327E-9</v>
      </c>
    </row>
    <row r="29" spans="4:16" x14ac:dyDescent="0.25">
      <c r="D29" s="1">
        <v>137500</v>
      </c>
      <c r="E29" s="1">
        <v>6.3674100000000001E-6</v>
      </c>
      <c r="F29" s="1">
        <v>1.6466599999999999E-5</v>
      </c>
      <c r="H29" s="1">
        <f t="shared" si="0"/>
        <v>13.75</v>
      </c>
      <c r="I29" s="1">
        <f t="shared" si="1"/>
        <v>2.2834009999999999E-5</v>
      </c>
      <c r="J29" s="1">
        <f t="shared" si="2"/>
        <v>6.8120554892601429E-8</v>
      </c>
      <c r="L29" s="1">
        <v>137500</v>
      </c>
      <c r="M29" s="1">
        <v>0.53810000000000002</v>
      </c>
      <c r="N29" s="1">
        <v>0</v>
      </c>
      <c r="O29" s="1">
        <f t="shared" si="3"/>
        <v>13.75</v>
      </c>
      <c r="P29" s="1">
        <f t="shared" si="4"/>
        <v>1.6053102625298327E-9</v>
      </c>
    </row>
    <row r="30" spans="4:16" x14ac:dyDescent="0.25">
      <c r="D30" s="1">
        <v>143000</v>
      </c>
      <c r="E30" s="1">
        <v>6.4104399999999999E-6</v>
      </c>
      <c r="F30" s="1">
        <v>1.43911E-5</v>
      </c>
      <c r="H30" s="1">
        <f t="shared" si="0"/>
        <v>14.3</v>
      </c>
      <c r="I30" s="1">
        <f t="shared" si="1"/>
        <v>2.080154E-5</v>
      </c>
      <c r="J30" s="1">
        <f t="shared" si="2"/>
        <v>6.2057100238663474E-8</v>
      </c>
      <c r="L30" s="1">
        <v>143000</v>
      </c>
      <c r="M30" s="1">
        <v>0.26905000000000001</v>
      </c>
      <c r="N30" s="1">
        <v>0</v>
      </c>
      <c r="O30" s="1">
        <f t="shared" si="3"/>
        <v>14.3</v>
      </c>
      <c r="P30" s="1">
        <f t="shared" si="4"/>
        <v>8.0265513126491634E-10</v>
      </c>
    </row>
    <row r="31" spans="4:16" x14ac:dyDescent="0.25">
      <c r="D31" s="1">
        <v>148500</v>
      </c>
      <c r="E31" s="1">
        <v>6.7626899999999998E-6</v>
      </c>
      <c r="F31" s="1">
        <v>1.31202E-5</v>
      </c>
      <c r="H31" s="1">
        <f t="shared" si="0"/>
        <v>14.85</v>
      </c>
      <c r="I31" s="1">
        <f t="shared" si="1"/>
        <v>1.9882889999999998E-5</v>
      </c>
      <c r="J31" s="1">
        <f t="shared" si="2"/>
        <v>5.9316497613365134E-8</v>
      </c>
      <c r="L31" s="1">
        <v>148500</v>
      </c>
      <c r="M31" s="1">
        <v>0.26905000000000001</v>
      </c>
      <c r="N31" s="1">
        <v>0</v>
      </c>
      <c r="O31" s="1">
        <f t="shared" si="3"/>
        <v>14.85</v>
      </c>
      <c r="P31" s="1">
        <f t="shared" si="4"/>
        <v>8.0265513126491634E-10</v>
      </c>
    </row>
    <row r="32" spans="4:16" x14ac:dyDescent="0.25">
      <c r="D32" s="1">
        <v>154000</v>
      </c>
      <c r="E32" s="1">
        <v>6.9025100000000003E-6</v>
      </c>
      <c r="F32" s="1">
        <v>1.3932E-5</v>
      </c>
      <c r="H32" s="1">
        <f t="shared" si="0"/>
        <v>15.4</v>
      </c>
      <c r="I32" s="1">
        <f t="shared" si="1"/>
        <v>2.0834509999999999E-5</v>
      </c>
      <c r="J32" s="1">
        <f t="shared" si="2"/>
        <v>6.2155459427207632E-8</v>
      </c>
      <c r="L32" s="1">
        <v>154000</v>
      </c>
      <c r="M32" s="1">
        <v>0.26905000000000001</v>
      </c>
      <c r="N32" s="1">
        <v>0</v>
      </c>
      <c r="O32" s="1">
        <f t="shared" si="3"/>
        <v>15.4</v>
      </c>
      <c r="P32" s="1">
        <f t="shared" si="4"/>
        <v>8.0265513126491634E-10</v>
      </c>
    </row>
    <row r="33" spans="4:16" x14ac:dyDescent="0.25">
      <c r="D33" s="1">
        <v>159500</v>
      </c>
      <c r="E33" s="1">
        <v>6.8057099999999998E-6</v>
      </c>
      <c r="F33" s="1">
        <v>1.5930399999999999E-5</v>
      </c>
      <c r="H33" s="1">
        <f t="shared" si="0"/>
        <v>15.95</v>
      </c>
      <c r="I33" s="1">
        <f t="shared" si="1"/>
        <v>2.2736109999999998E-5</v>
      </c>
      <c r="J33" s="1">
        <f t="shared" si="2"/>
        <v>6.7828490453460618E-8</v>
      </c>
      <c r="L33" s="1">
        <v>159500</v>
      </c>
      <c r="M33" s="1">
        <v>0.53810000000000002</v>
      </c>
      <c r="N33" s="1">
        <v>0</v>
      </c>
      <c r="O33" s="1">
        <f t="shared" si="3"/>
        <v>15.95</v>
      </c>
      <c r="P33" s="1">
        <f t="shared" si="4"/>
        <v>1.6053102625298327E-9</v>
      </c>
    </row>
    <row r="34" spans="4:16" x14ac:dyDescent="0.25">
      <c r="D34" s="1">
        <v>165000</v>
      </c>
      <c r="E34" s="1">
        <v>7.0853599999999997E-6</v>
      </c>
      <c r="F34" s="1">
        <v>2.01909E-5</v>
      </c>
      <c r="H34" s="1">
        <f t="shared" si="0"/>
        <v>16.5</v>
      </c>
      <c r="I34" s="1">
        <f t="shared" si="1"/>
        <v>2.7276259999999999E-5</v>
      </c>
      <c r="J34" s="1">
        <f t="shared" si="2"/>
        <v>8.1373090692124087E-8</v>
      </c>
      <c r="L34" s="1">
        <v>165000</v>
      </c>
      <c r="M34" s="1">
        <v>1.0762</v>
      </c>
      <c r="N34" s="1">
        <v>0</v>
      </c>
      <c r="O34" s="1">
        <f t="shared" si="3"/>
        <v>16.5</v>
      </c>
      <c r="P34" s="1">
        <f t="shared" si="4"/>
        <v>3.2106205250596653E-9</v>
      </c>
    </row>
    <row r="35" spans="4:16" x14ac:dyDescent="0.25">
      <c r="D35" s="1">
        <v>170500</v>
      </c>
      <c r="E35" s="1">
        <v>7.1767899999999998E-6</v>
      </c>
      <c r="F35" s="1">
        <v>1.5201000000000001E-5</v>
      </c>
      <c r="H35" s="1">
        <f t="shared" si="0"/>
        <v>17.05</v>
      </c>
      <c r="I35" s="1">
        <f t="shared" si="1"/>
        <v>2.237779E-5</v>
      </c>
      <c r="J35" s="1">
        <f t="shared" si="2"/>
        <v>6.6759516706443902E-8</v>
      </c>
      <c r="L35" s="1">
        <v>170500</v>
      </c>
      <c r="M35" s="1">
        <v>0.26905000000000001</v>
      </c>
      <c r="N35" s="1">
        <v>0</v>
      </c>
      <c r="O35" s="1">
        <f t="shared" si="3"/>
        <v>17.05</v>
      </c>
      <c r="P35" s="1">
        <f t="shared" si="4"/>
        <v>8.0265513126491634E-10</v>
      </c>
    </row>
    <row r="36" spans="4:16" x14ac:dyDescent="0.25">
      <c r="D36" s="1">
        <v>176000</v>
      </c>
      <c r="E36" s="1">
        <v>7.28165E-6</v>
      </c>
      <c r="F36" s="1">
        <v>1.9261100000000001E-5</v>
      </c>
      <c r="H36" s="1">
        <f t="shared" si="0"/>
        <v>17.600000000000001</v>
      </c>
      <c r="I36" s="1">
        <f t="shared" si="1"/>
        <v>2.6542750000000003E-5</v>
      </c>
      <c r="J36" s="1">
        <f t="shared" si="2"/>
        <v>7.9184815035799511E-8</v>
      </c>
      <c r="L36" s="1">
        <v>176000</v>
      </c>
      <c r="M36" s="1">
        <v>2.4214000000000002</v>
      </c>
      <c r="N36" s="1">
        <v>0</v>
      </c>
      <c r="O36" s="1">
        <f t="shared" si="3"/>
        <v>17.600000000000001</v>
      </c>
      <c r="P36" s="1">
        <f t="shared" si="4"/>
        <v>7.2237470167064439E-9</v>
      </c>
    </row>
    <row r="37" spans="4:16" x14ac:dyDescent="0.25">
      <c r="D37" s="1">
        <v>181500</v>
      </c>
      <c r="E37" s="1">
        <v>7.4349200000000003E-6</v>
      </c>
      <c r="F37" s="1">
        <v>1.4345099999999999E-5</v>
      </c>
      <c r="H37" s="1">
        <f t="shared" si="0"/>
        <v>18.149999999999999</v>
      </c>
      <c r="I37" s="1">
        <f t="shared" si="1"/>
        <v>2.178002E-5</v>
      </c>
      <c r="J37" s="1">
        <f t="shared" si="2"/>
        <v>6.4976193317422431E-8</v>
      </c>
      <c r="L37" s="1">
        <v>181500</v>
      </c>
      <c r="M37" s="1">
        <v>1.6143000000000001</v>
      </c>
      <c r="N37" s="1">
        <v>0</v>
      </c>
      <c r="O37" s="1">
        <f t="shared" si="3"/>
        <v>18.149999999999999</v>
      </c>
      <c r="P37" s="1">
        <f t="shared" si="4"/>
        <v>4.8159307875894993E-9</v>
      </c>
    </row>
    <row r="38" spans="4:16" x14ac:dyDescent="0.25">
      <c r="D38" s="1">
        <v>187000</v>
      </c>
      <c r="E38" s="1">
        <v>7.4537500000000004E-6</v>
      </c>
      <c r="F38" s="1">
        <v>1.3487599999999999E-5</v>
      </c>
      <c r="H38" s="1">
        <f t="shared" si="0"/>
        <v>18.7</v>
      </c>
      <c r="I38" s="1">
        <f t="shared" si="1"/>
        <v>2.0941349999999999E-5</v>
      </c>
      <c r="J38" s="1">
        <f t="shared" si="2"/>
        <v>6.2474194510739847E-8</v>
      </c>
      <c r="L38" s="1">
        <v>187000</v>
      </c>
      <c r="M38" s="1">
        <v>0.80715000000000003</v>
      </c>
      <c r="N38" s="1">
        <v>0</v>
      </c>
      <c r="O38" s="1">
        <f t="shared" si="3"/>
        <v>18.7</v>
      </c>
      <c r="P38" s="1">
        <f t="shared" si="4"/>
        <v>2.4079653937947496E-9</v>
      </c>
    </row>
    <row r="39" spans="4:16" x14ac:dyDescent="0.25">
      <c r="D39" s="1">
        <v>192500</v>
      </c>
      <c r="E39" s="1">
        <v>7.7307099999999994E-6</v>
      </c>
      <c r="F39" s="1">
        <v>1.32636E-5</v>
      </c>
      <c r="H39" s="1">
        <f t="shared" si="0"/>
        <v>19.25</v>
      </c>
      <c r="I39" s="1">
        <f t="shared" si="1"/>
        <v>2.0994309999999997E-5</v>
      </c>
      <c r="J39" s="1">
        <f t="shared" si="2"/>
        <v>6.2632189737470147E-8</v>
      </c>
      <c r="L39" s="1">
        <v>192500</v>
      </c>
      <c r="M39" s="1">
        <v>2.1524000000000001</v>
      </c>
      <c r="N39" s="1">
        <v>0</v>
      </c>
      <c r="O39" s="1">
        <f t="shared" si="3"/>
        <v>19.25</v>
      </c>
      <c r="P39" s="1">
        <f t="shared" si="4"/>
        <v>6.4212410501193307E-9</v>
      </c>
    </row>
    <row r="40" spans="4:16" x14ac:dyDescent="0.25">
      <c r="D40" s="1">
        <v>198000</v>
      </c>
      <c r="E40" s="1">
        <v>7.7925500000000005E-6</v>
      </c>
      <c r="F40" s="1">
        <v>1.35187E-5</v>
      </c>
      <c r="H40" s="1">
        <f t="shared" si="0"/>
        <v>19.8</v>
      </c>
      <c r="I40" s="1">
        <f t="shared" si="1"/>
        <v>2.131125E-5</v>
      </c>
      <c r="J40" s="1">
        <f t="shared" si="2"/>
        <v>6.3577714797136033E-8</v>
      </c>
      <c r="L40" s="1">
        <v>198000</v>
      </c>
      <c r="M40" s="1">
        <v>1.0762</v>
      </c>
      <c r="N40" s="1">
        <v>0</v>
      </c>
      <c r="O40" s="1">
        <f t="shared" si="3"/>
        <v>19.8</v>
      </c>
      <c r="P40" s="1">
        <f t="shared" si="4"/>
        <v>3.2106205250596653E-9</v>
      </c>
    </row>
    <row r="41" spans="4:16" x14ac:dyDescent="0.25">
      <c r="D41" s="1">
        <v>203500</v>
      </c>
      <c r="E41" s="1">
        <v>7.8597800000000008E-6</v>
      </c>
      <c r="F41" s="1">
        <v>1.50193E-5</v>
      </c>
      <c r="H41" s="1">
        <f t="shared" si="0"/>
        <v>20.350000000000001</v>
      </c>
      <c r="I41" s="1">
        <f t="shared" si="1"/>
        <v>2.2879080000000001E-5</v>
      </c>
      <c r="J41" s="1">
        <f t="shared" si="2"/>
        <v>6.8255011933174211E-8</v>
      </c>
      <c r="L41" s="1">
        <v>203500</v>
      </c>
      <c r="M41" s="1">
        <v>2.9594999999999998</v>
      </c>
      <c r="N41" s="1">
        <v>0</v>
      </c>
      <c r="O41" s="1">
        <f t="shared" si="3"/>
        <v>20.350000000000001</v>
      </c>
      <c r="P41" s="1">
        <f t="shared" si="4"/>
        <v>8.8290572792362753E-9</v>
      </c>
    </row>
    <row r="42" spans="4:16" x14ac:dyDescent="0.25">
      <c r="D42" s="1">
        <v>209000</v>
      </c>
      <c r="E42" s="1">
        <v>8.7014200000000008E-6</v>
      </c>
      <c r="F42" s="1">
        <v>1.8796100000000001E-5</v>
      </c>
      <c r="H42" s="1">
        <f t="shared" si="0"/>
        <v>20.9</v>
      </c>
      <c r="I42" s="1">
        <f t="shared" si="1"/>
        <v>2.749752E-5</v>
      </c>
      <c r="J42" s="1">
        <f t="shared" si="2"/>
        <v>8.2033174224343664E-8</v>
      </c>
      <c r="L42" s="1">
        <v>209000</v>
      </c>
      <c r="M42" s="1">
        <v>2.1524000000000001</v>
      </c>
      <c r="N42" s="1">
        <v>0</v>
      </c>
      <c r="O42" s="1">
        <f t="shared" si="3"/>
        <v>20.9</v>
      </c>
      <c r="P42" s="1">
        <f t="shared" si="4"/>
        <v>6.4212410501193307E-9</v>
      </c>
    </row>
    <row r="43" spans="4:16" x14ac:dyDescent="0.25">
      <c r="D43" s="1">
        <v>214500</v>
      </c>
      <c r="E43" s="1">
        <v>8.2819400000000005E-6</v>
      </c>
      <c r="F43" s="1">
        <v>1.7600599999999999E-5</v>
      </c>
      <c r="H43" s="1">
        <f t="shared" si="0"/>
        <v>21.45</v>
      </c>
      <c r="I43" s="1">
        <f t="shared" si="1"/>
        <v>2.5882539999999998E-5</v>
      </c>
      <c r="J43" s="1">
        <f t="shared" si="2"/>
        <v>7.7215214797136025E-8</v>
      </c>
      <c r="L43" s="1">
        <v>214500</v>
      </c>
      <c r="M43" s="1">
        <v>2.4214000000000002</v>
      </c>
      <c r="N43" s="1">
        <v>0</v>
      </c>
      <c r="O43" s="1">
        <f t="shared" si="3"/>
        <v>21.45</v>
      </c>
      <c r="P43" s="1">
        <f t="shared" si="4"/>
        <v>7.2237470167064439E-9</v>
      </c>
    </row>
    <row r="44" spans="4:16" x14ac:dyDescent="0.25">
      <c r="D44" s="1">
        <v>220000</v>
      </c>
      <c r="E44" s="1">
        <v>8.7686400000000005E-6</v>
      </c>
      <c r="F44" s="1">
        <v>1.8528800000000001E-5</v>
      </c>
      <c r="H44" s="1">
        <f t="shared" si="0"/>
        <v>22</v>
      </c>
      <c r="I44" s="1">
        <f t="shared" si="1"/>
        <v>2.7297440000000003E-5</v>
      </c>
      <c r="J44" s="1">
        <f t="shared" si="2"/>
        <v>8.1436276849641978E-8</v>
      </c>
      <c r="L44" s="1">
        <v>220000</v>
      </c>
      <c r="M44" s="1">
        <v>1.6143000000000001</v>
      </c>
      <c r="N44" s="1">
        <v>0</v>
      </c>
      <c r="O44" s="1">
        <f t="shared" si="3"/>
        <v>22</v>
      </c>
      <c r="P44" s="1">
        <f t="shared" si="4"/>
        <v>4.8159307875894993E-9</v>
      </c>
    </row>
    <row r="45" spans="4:16" x14ac:dyDescent="0.25">
      <c r="D45" s="1">
        <v>225500</v>
      </c>
      <c r="E45" s="1">
        <v>9.0294700000000001E-6</v>
      </c>
      <c r="F45" s="1">
        <v>2.0025199999999999E-5</v>
      </c>
      <c r="H45" s="1">
        <f t="shared" si="0"/>
        <v>22.55</v>
      </c>
      <c r="I45" s="1">
        <f t="shared" si="1"/>
        <v>2.9054669999999999E-5</v>
      </c>
      <c r="J45" s="1">
        <f t="shared" si="2"/>
        <v>8.6678609785202867E-8</v>
      </c>
      <c r="L45" s="1">
        <v>225500</v>
      </c>
      <c r="M45" s="1">
        <v>3.4975999999999998</v>
      </c>
      <c r="N45" s="1">
        <v>0</v>
      </c>
      <c r="O45" s="1">
        <f t="shared" si="3"/>
        <v>22.55</v>
      </c>
      <c r="P45" s="1">
        <f t="shared" si="4"/>
        <v>1.0434367541766108E-8</v>
      </c>
    </row>
    <row r="46" spans="4:16" x14ac:dyDescent="0.25">
      <c r="D46" s="1">
        <v>231000</v>
      </c>
      <c r="E46" s="1">
        <v>9.5188499999999995E-6</v>
      </c>
      <c r="F46" s="1">
        <v>2.11332E-5</v>
      </c>
      <c r="H46" s="1">
        <f t="shared" si="0"/>
        <v>23.1</v>
      </c>
      <c r="I46" s="1">
        <f t="shared" si="1"/>
        <v>3.0652050000000001E-5</v>
      </c>
      <c r="J46" s="1">
        <f t="shared" si="2"/>
        <v>9.1444063245823386E-8</v>
      </c>
      <c r="L46" s="1">
        <v>231000</v>
      </c>
      <c r="M46" s="1">
        <v>4.0357000000000003</v>
      </c>
      <c r="N46" s="1">
        <v>0</v>
      </c>
      <c r="O46" s="1">
        <f t="shared" si="3"/>
        <v>23.1</v>
      </c>
      <c r="P46" s="1">
        <f t="shared" si="4"/>
        <v>1.203967780429594E-8</v>
      </c>
    </row>
    <row r="47" spans="4:16" x14ac:dyDescent="0.25">
      <c r="D47" s="1">
        <v>236500</v>
      </c>
      <c r="E47" s="1">
        <v>9.6371699999999994E-6</v>
      </c>
      <c r="F47" s="1">
        <v>1.7440900000000001E-5</v>
      </c>
      <c r="H47" s="1">
        <f t="shared" si="0"/>
        <v>23.65</v>
      </c>
      <c r="I47" s="1">
        <f t="shared" si="1"/>
        <v>2.7078069999999999E-5</v>
      </c>
      <c r="J47" s="1">
        <f t="shared" si="2"/>
        <v>8.0781831742243415E-8</v>
      </c>
      <c r="L47" s="1">
        <v>236500</v>
      </c>
      <c r="M47" s="1">
        <v>5.1119000000000003</v>
      </c>
      <c r="N47" s="1">
        <v>0</v>
      </c>
      <c r="O47" s="1">
        <f t="shared" si="3"/>
        <v>23.65</v>
      </c>
      <c r="P47" s="1">
        <f t="shared" si="4"/>
        <v>1.5250298329355606E-8</v>
      </c>
    </row>
    <row r="48" spans="4:16" x14ac:dyDescent="0.25">
      <c r="D48" s="1">
        <v>242000</v>
      </c>
      <c r="E48" s="1">
        <v>9.6882600000000006E-6</v>
      </c>
      <c r="F48" s="1">
        <v>1.99067E-5</v>
      </c>
      <c r="H48" s="1">
        <f t="shared" si="0"/>
        <v>24.2</v>
      </c>
      <c r="I48" s="1">
        <f t="shared" si="1"/>
        <v>2.9594960000000001E-5</v>
      </c>
      <c r="J48" s="1">
        <f t="shared" si="2"/>
        <v>8.8290453460620521E-8</v>
      </c>
      <c r="L48" s="1">
        <v>242000</v>
      </c>
      <c r="M48" s="1">
        <v>4.3048000000000002</v>
      </c>
      <c r="N48" s="1">
        <v>0</v>
      </c>
      <c r="O48" s="1">
        <f t="shared" si="3"/>
        <v>24.2</v>
      </c>
      <c r="P48" s="1">
        <f t="shared" si="4"/>
        <v>1.2842482100238661E-8</v>
      </c>
    </row>
    <row r="49" spans="4:16" x14ac:dyDescent="0.25">
      <c r="D49" s="1">
        <v>247500</v>
      </c>
      <c r="E49" s="1">
        <v>1.07853E-5</v>
      </c>
      <c r="F49" s="1">
        <v>2.6874699999999999E-5</v>
      </c>
      <c r="H49" s="1">
        <f t="shared" si="0"/>
        <v>24.75</v>
      </c>
      <c r="I49" s="1">
        <f t="shared" si="1"/>
        <v>3.7660000000000002E-5</v>
      </c>
      <c r="J49" s="1">
        <f t="shared" si="2"/>
        <v>1.1235083532219568E-7</v>
      </c>
      <c r="L49" s="1">
        <v>247500</v>
      </c>
      <c r="M49" s="1">
        <v>4.5738000000000003</v>
      </c>
      <c r="N49" s="1">
        <v>0</v>
      </c>
      <c r="O49" s="1">
        <f t="shared" si="3"/>
        <v>24.75</v>
      </c>
      <c r="P49" s="1">
        <f t="shared" si="4"/>
        <v>1.3644988066825775E-8</v>
      </c>
    </row>
    <row r="50" spans="4:16" x14ac:dyDescent="0.25">
      <c r="D50" s="1">
        <v>253000</v>
      </c>
      <c r="E50" s="1">
        <v>1.16243E-5</v>
      </c>
      <c r="F50" s="1">
        <v>3.0153000000000001E-5</v>
      </c>
      <c r="H50" s="1">
        <f t="shared" si="0"/>
        <v>25.3</v>
      </c>
      <c r="I50" s="1">
        <f t="shared" si="1"/>
        <v>4.1777299999999997E-5</v>
      </c>
      <c r="J50" s="1">
        <f t="shared" si="2"/>
        <v>1.2463394988066823E-7</v>
      </c>
      <c r="L50" s="1">
        <v>253000</v>
      </c>
      <c r="M50" s="1">
        <v>3.7667000000000002</v>
      </c>
      <c r="N50" s="1">
        <v>0</v>
      </c>
      <c r="O50" s="1">
        <f t="shared" si="3"/>
        <v>25.3</v>
      </c>
      <c r="P50" s="1">
        <f t="shared" si="4"/>
        <v>1.1237171837708832E-8</v>
      </c>
    </row>
    <row r="51" spans="4:16" x14ac:dyDescent="0.25">
      <c r="D51" s="1">
        <v>258500</v>
      </c>
      <c r="E51" s="1">
        <v>1.1040799999999999E-5</v>
      </c>
      <c r="F51" s="1">
        <v>2.4376399999999999E-5</v>
      </c>
      <c r="H51" s="1">
        <f t="shared" si="0"/>
        <v>25.85</v>
      </c>
      <c r="I51" s="1">
        <f t="shared" si="1"/>
        <v>3.5417199999999997E-5</v>
      </c>
      <c r="J51" s="1">
        <f t="shared" si="2"/>
        <v>1.056599045346062E-7</v>
      </c>
      <c r="L51" s="1">
        <v>258500</v>
      </c>
      <c r="M51" s="1">
        <v>2.9594999999999998</v>
      </c>
      <c r="N51" s="1">
        <v>0</v>
      </c>
      <c r="O51" s="1">
        <f t="shared" si="3"/>
        <v>25.85</v>
      </c>
      <c r="P51" s="1">
        <f t="shared" si="4"/>
        <v>8.8290572792362753E-9</v>
      </c>
    </row>
    <row r="52" spans="4:16" x14ac:dyDescent="0.25">
      <c r="D52" s="1">
        <v>264000</v>
      </c>
      <c r="E52" s="1">
        <v>1.7082799999999998E-5</v>
      </c>
      <c r="F52" s="1">
        <v>3.1868200000000001E-5</v>
      </c>
      <c r="H52" s="1">
        <f t="shared" si="0"/>
        <v>26.4</v>
      </c>
      <c r="I52" s="1">
        <f t="shared" si="1"/>
        <v>4.8950999999999999E-5</v>
      </c>
      <c r="J52" s="1">
        <f t="shared" si="2"/>
        <v>1.4603520286396182E-7</v>
      </c>
      <c r="L52" s="1">
        <v>264000</v>
      </c>
      <c r="M52" s="1">
        <v>4.0357000000000003</v>
      </c>
      <c r="N52" s="1">
        <v>0</v>
      </c>
      <c r="O52" s="1">
        <f t="shared" si="3"/>
        <v>26.4</v>
      </c>
      <c r="P52" s="1">
        <f t="shared" si="4"/>
        <v>1.203967780429594E-8</v>
      </c>
    </row>
    <row r="53" spans="4:16" x14ac:dyDescent="0.25">
      <c r="D53" s="1">
        <v>269500</v>
      </c>
      <c r="E53" s="1">
        <v>1.7413599999999999E-5</v>
      </c>
      <c r="F53" s="1">
        <v>3.42845E-5</v>
      </c>
      <c r="H53" s="1">
        <f t="shared" si="0"/>
        <v>26.95</v>
      </c>
      <c r="I53" s="1">
        <f t="shared" si="1"/>
        <v>5.1698099999999999E-5</v>
      </c>
      <c r="J53" s="1">
        <f t="shared" si="2"/>
        <v>1.5423060859188543E-7</v>
      </c>
      <c r="L53" s="1">
        <v>269500</v>
      </c>
      <c r="M53" s="1">
        <v>4.5738000000000003</v>
      </c>
      <c r="N53" s="1">
        <v>0</v>
      </c>
      <c r="O53" s="1">
        <f t="shared" si="3"/>
        <v>26.95</v>
      </c>
      <c r="P53" s="1">
        <f t="shared" si="4"/>
        <v>1.3644988066825775E-8</v>
      </c>
    </row>
    <row r="54" spans="4:16" x14ac:dyDescent="0.25">
      <c r="D54" s="1">
        <v>275000</v>
      </c>
      <c r="E54" s="1">
        <v>1.7599099999999999E-5</v>
      </c>
      <c r="F54" s="1">
        <v>3.3294199999999997E-5</v>
      </c>
      <c r="H54" s="1">
        <f t="shared" si="0"/>
        <v>27.5</v>
      </c>
      <c r="I54" s="1">
        <f t="shared" si="1"/>
        <v>5.0893299999999996E-5</v>
      </c>
      <c r="J54" s="1">
        <f t="shared" si="2"/>
        <v>1.5182965393794744E-7</v>
      </c>
      <c r="L54" s="1">
        <v>275000</v>
      </c>
      <c r="M54" s="1">
        <v>5.3810000000000002</v>
      </c>
      <c r="N54" s="1">
        <v>0</v>
      </c>
      <c r="O54" s="1">
        <f t="shared" si="3"/>
        <v>27.5</v>
      </c>
      <c r="P54" s="1">
        <f t="shared" si="4"/>
        <v>1.6053102625298328E-8</v>
      </c>
    </row>
    <row r="55" spans="4:16" x14ac:dyDescent="0.25">
      <c r="D55" s="1">
        <v>280500</v>
      </c>
      <c r="E55" s="1">
        <v>1.8416599999999999E-5</v>
      </c>
      <c r="F55" s="1">
        <v>3.5315999999999999E-5</v>
      </c>
      <c r="H55" s="1">
        <f t="shared" si="0"/>
        <v>28.05</v>
      </c>
      <c r="I55" s="1">
        <f t="shared" si="1"/>
        <v>5.3732599999999994E-5</v>
      </c>
      <c r="J55" s="1">
        <f t="shared" si="2"/>
        <v>1.6030011933174218E-7</v>
      </c>
      <c r="L55" s="1">
        <v>280500</v>
      </c>
      <c r="M55" s="1">
        <v>7.2643000000000004</v>
      </c>
      <c r="N55" s="1">
        <v>0</v>
      </c>
      <c r="O55" s="1">
        <f t="shared" si="3"/>
        <v>28.05</v>
      </c>
      <c r="P55" s="1">
        <f t="shared" si="4"/>
        <v>2.1671539379474942E-8</v>
      </c>
    </row>
    <row r="56" spans="4:16" x14ac:dyDescent="0.25">
      <c r="D56" s="1">
        <v>286000</v>
      </c>
      <c r="E56" s="1">
        <v>1.9182899999999999E-5</v>
      </c>
      <c r="F56" s="1">
        <v>3.9285900000000003E-5</v>
      </c>
      <c r="H56" s="1">
        <f t="shared" si="0"/>
        <v>28.6</v>
      </c>
      <c r="I56" s="1">
        <f t="shared" si="1"/>
        <v>5.8468799999999998E-5</v>
      </c>
      <c r="J56" s="1">
        <f t="shared" si="2"/>
        <v>1.7442959427207634E-7</v>
      </c>
      <c r="L56" s="1">
        <v>286000</v>
      </c>
      <c r="M56" s="1">
        <v>7.5334000000000003</v>
      </c>
      <c r="N56" s="1">
        <v>0</v>
      </c>
      <c r="O56" s="1">
        <f t="shared" si="3"/>
        <v>28.6</v>
      </c>
      <c r="P56" s="1">
        <f t="shared" si="4"/>
        <v>2.2474343675417663E-8</v>
      </c>
    </row>
    <row r="57" spans="4:16" x14ac:dyDescent="0.25">
      <c r="D57" s="1">
        <v>291500</v>
      </c>
      <c r="E57" s="1">
        <v>1.9868600000000002E-5</v>
      </c>
      <c r="F57" s="1">
        <v>3.8507899999999998E-5</v>
      </c>
      <c r="H57" s="1">
        <f t="shared" si="0"/>
        <v>29.15</v>
      </c>
      <c r="I57" s="1">
        <f t="shared" si="1"/>
        <v>5.8376499999999999E-5</v>
      </c>
      <c r="J57" s="1">
        <f t="shared" si="2"/>
        <v>1.7415423627684962E-7</v>
      </c>
      <c r="L57" s="1">
        <v>291500</v>
      </c>
      <c r="M57" s="1">
        <v>8.6096000000000004</v>
      </c>
      <c r="N57" s="1">
        <v>0</v>
      </c>
      <c r="O57" s="1">
        <f t="shared" si="3"/>
        <v>29.15</v>
      </c>
      <c r="P57" s="1">
        <f t="shared" si="4"/>
        <v>2.5684964200477323E-8</v>
      </c>
    </row>
    <row r="58" spans="4:16" x14ac:dyDescent="0.25">
      <c r="D58" s="1">
        <v>297000</v>
      </c>
      <c r="E58" s="1">
        <v>2.0551600000000002E-5</v>
      </c>
      <c r="F58" s="1">
        <v>4.2235599999999999E-5</v>
      </c>
      <c r="H58" s="1">
        <f t="shared" si="0"/>
        <v>29.7</v>
      </c>
      <c r="I58" s="1">
        <f t="shared" si="1"/>
        <v>6.2787200000000008E-5</v>
      </c>
      <c r="J58" s="1">
        <f t="shared" si="2"/>
        <v>1.8731264916467782E-7</v>
      </c>
      <c r="L58" s="1">
        <v>297000</v>
      </c>
      <c r="M58" s="1">
        <v>9.6858000000000004</v>
      </c>
      <c r="N58" s="1">
        <v>0</v>
      </c>
      <c r="O58" s="1">
        <f t="shared" si="3"/>
        <v>29.7</v>
      </c>
      <c r="P58" s="1">
        <f t="shared" si="4"/>
        <v>2.8895584725536989E-8</v>
      </c>
    </row>
    <row r="59" spans="4:16" x14ac:dyDescent="0.25">
      <c r="D59" s="1">
        <v>302500</v>
      </c>
      <c r="E59" s="1">
        <v>2.0777499999999999E-5</v>
      </c>
      <c r="F59" s="1">
        <v>4.0603299999999998E-5</v>
      </c>
      <c r="H59" s="1">
        <f t="shared" si="0"/>
        <v>30.25</v>
      </c>
      <c r="I59" s="1">
        <f t="shared" si="1"/>
        <v>6.13808E-5</v>
      </c>
      <c r="J59" s="1">
        <f t="shared" si="2"/>
        <v>1.8311694510739853E-7</v>
      </c>
      <c r="L59" s="1">
        <v>302500</v>
      </c>
      <c r="M59" s="1">
        <v>8.3405000000000005</v>
      </c>
      <c r="N59" s="1">
        <v>0</v>
      </c>
      <c r="O59" s="1">
        <f t="shared" si="3"/>
        <v>30.25</v>
      </c>
      <c r="P59" s="1">
        <f t="shared" si="4"/>
        <v>2.4882159904534601E-8</v>
      </c>
    </row>
    <row r="60" spans="4:16" x14ac:dyDescent="0.25">
      <c r="D60" s="1">
        <v>308000</v>
      </c>
      <c r="E60" s="1">
        <v>2.1511499999999999E-5</v>
      </c>
      <c r="F60" s="1">
        <v>4.3200600000000001E-5</v>
      </c>
      <c r="H60" s="1">
        <f t="shared" si="0"/>
        <v>30.8</v>
      </c>
      <c r="I60" s="1">
        <f t="shared" si="1"/>
        <v>6.4712100000000007E-5</v>
      </c>
      <c r="J60" s="1">
        <f t="shared" si="2"/>
        <v>1.930551909307876E-7</v>
      </c>
      <c r="L60" s="1">
        <v>308000</v>
      </c>
      <c r="M60" s="1">
        <v>7.8023999999999996</v>
      </c>
      <c r="N60" s="1">
        <v>0</v>
      </c>
      <c r="O60" s="1">
        <f t="shared" si="3"/>
        <v>30.8</v>
      </c>
      <c r="P60" s="1">
        <f t="shared" si="4"/>
        <v>2.3276849642004773E-8</v>
      </c>
    </row>
    <row r="61" spans="4:16" x14ac:dyDescent="0.25">
      <c r="D61" s="1">
        <v>313500</v>
      </c>
      <c r="E61" s="1">
        <v>2.2484899999999999E-5</v>
      </c>
      <c r="F61" s="1">
        <v>4.36607E-5</v>
      </c>
      <c r="H61" s="1">
        <f t="shared" si="0"/>
        <v>31.35</v>
      </c>
      <c r="I61" s="1">
        <f t="shared" si="1"/>
        <v>6.6145599999999999E-5</v>
      </c>
      <c r="J61" s="1">
        <f t="shared" si="2"/>
        <v>1.9733174224343671E-7</v>
      </c>
      <c r="L61" s="1">
        <v>313500</v>
      </c>
      <c r="M61" s="1">
        <v>13.991</v>
      </c>
      <c r="N61" s="1">
        <v>0</v>
      </c>
      <c r="O61" s="1">
        <f t="shared" si="3"/>
        <v>31.35</v>
      </c>
      <c r="P61" s="1">
        <f t="shared" si="4"/>
        <v>4.1739260143198077E-8</v>
      </c>
    </row>
    <row r="62" spans="4:16" x14ac:dyDescent="0.25">
      <c r="D62" s="1">
        <v>319000</v>
      </c>
      <c r="E62" s="1">
        <v>2.37756E-5</v>
      </c>
      <c r="F62" s="1">
        <v>3.9704499999999999E-5</v>
      </c>
      <c r="H62" s="1">
        <f t="shared" si="0"/>
        <v>31.9</v>
      </c>
      <c r="I62" s="1">
        <f t="shared" si="1"/>
        <v>6.3480100000000002E-5</v>
      </c>
      <c r="J62" s="1">
        <f t="shared" si="2"/>
        <v>1.8937977326968975E-7</v>
      </c>
      <c r="L62" s="1">
        <v>319000</v>
      </c>
      <c r="M62" s="1">
        <v>11.031000000000001</v>
      </c>
      <c r="N62" s="1">
        <v>0</v>
      </c>
      <c r="O62" s="1">
        <f t="shared" si="3"/>
        <v>31.9</v>
      </c>
      <c r="P62" s="1">
        <f t="shared" si="4"/>
        <v>3.2908711217183765E-8</v>
      </c>
    </row>
    <row r="63" spans="4:16" x14ac:dyDescent="0.25">
      <c r="D63" s="1">
        <v>324500</v>
      </c>
      <c r="E63" s="1">
        <v>2.48835E-5</v>
      </c>
      <c r="F63" s="1">
        <v>4.2293000000000003E-5</v>
      </c>
      <c r="H63" s="1">
        <f t="shared" si="0"/>
        <v>32.450000000000003</v>
      </c>
      <c r="I63" s="1">
        <f t="shared" si="1"/>
        <v>6.7176500000000003E-5</v>
      </c>
      <c r="J63" s="1">
        <f t="shared" si="2"/>
        <v>2.0040721957040573E-7</v>
      </c>
      <c r="L63" s="1">
        <v>324500</v>
      </c>
      <c r="M63" s="1">
        <v>16.95</v>
      </c>
      <c r="N63" s="1">
        <v>0</v>
      </c>
      <c r="O63" s="1">
        <f t="shared" si="3"/>
        <v>32.450000000000003</v>
      </c>
      <c r="P63" s="1">
        <f t="shared" si="4"/>
        <v>5.0566825775656319E-8</v>
      </c>
    </row>
    <row r="64" spans="4:16" x14ac:dyDescent="0.25">
      <c r="D64" s="1">
        <v>330000</v>
      </c>
      <c r="E64" s="1">
        <v>2.6209099999999999E-5</v>
      </c>
      <c r="F64" s="1">
        <v>4.82992E-5</v>
      </c>
      <c r="H64" s="1">
        <f t="shared" si="0"/>
        <v>33</v>
      </c>
      <c r="I64" s="1">
        <f t="shared" si="1"/>
        <v>7.4508300000000006E-5</v>
      </c>
      <c r="J64" s="1">
        <f t="shared" si="2"/>
        <v>2.2228013126491644E-7</v>
      </c>
      <c r="L64" s="1">
        <v>330000</v>
      </c>
      <c r="M64" s="1">
        <v>18.564</v>
      </c>
      <c r="N64" s="1">
        <v>0</v>
      </c>
      <c r="O64" s="1">
        <f t="shared" si="3"/>
        <v>33</v>
      </c>
      <c r="P64" s="1">
        <f t="shared" si="4"/>
        <v>5.5381861575178991E-8</v>
      </c>
    </row>
    <row r="65" spans="4:16" x14ac:dyDescent="0.25">
      <c r="D65" s="1">
        <v>335500</v>
      </c>
      <c r="E65" s="1">
        <v>2.7177100000000001E-5</v>
      </c>
      <c r="F65" s="1">
        <v>4.9366600000000003E-5</v>
      </c>
      <c r="H65" s="1">
        <f t="shared" si="0"/>
        <v>33.549999999999997</v>
      </c>
      <c r="I65" s="1">
        <f t="shared" si="1"/>
        <v>7.6543700000000011E-5</v>
      </c>
      <c r="J65" s="1">
        <f t="shared" si="2"/>
        <v>2.2835232696897377E-7</v>
      </c>
      <c r="L65" s="1">
        <v>335500</v>
      </c>
      <c r="M65" s="1">
        <v>20.716999999999999</v>
      </c>
      <c r="N65" s="1">
        <v>0</v>
      </c>
      <c r="O65" s="1">
        <f t="shared" si="3"/>
        <v>33.549999999999997</v>
      </c>
      <c r="P65" s="1">
        <f t="shared" si="4"/>
        <v>6.1804892601431954E-8</v>
      </c>
    </row>
    <row r="66" spans="4:16" x14ac:dyDescent="0.25">
      <c r="D66" s="1">
        <v>341000</v>
      </c>
      <c r="E66" s="1">
        <v>2.83818E-5</v>
      </c>
      <c r="F66" s="1">
        <v>4.8850999999999997E-5</v>
      </c>
      <c r="H66" s="1">
        <f t="shared" si="0"/>
        <v>34.1</v>
      </c>
      <c r="I66" s="1">
        <f t="shared" si="1"/>
        <v>7.7232799999999997E-5</v>
      </c>
      <c r="J66" s="1">
        <f t="shared" si="2"/>
        <v>2.3040811455847254E-7</v>
      </c>
      <c r="L66" s="1">
        <v>341000</v>
      </c>
      <c r="M66" s="1">
        <v>22.869</v>
      </c>
      <c r="N66" s="1">
        <v>0</v>
      </c>
      <c r="O66" s="1">
        <f t="shared" si="3"/>
        <v>34.1</v>
      </c>
      <c r="P66" s="1">
        <f t="shared" si="4"/>
        <v>6.8224940334128873E-8</v>
      </c>
    </row>
    <row r="67" spans="4:16" x14ac:dyDescent="0.25">
      <c r="D67" s="1">
        <v>346500</v>
      </c>
      <c r="E67" s="1">
        <v>3.0489900000000001E-5</v>
      </c>
      <c r="F67" s="1">
        <v>5.2007199999999999E-5</v>
      </c>
      <c r="H67" s="1">
        <f t="shared" si="0"/>
        <v>34.65</v>
      </c>
      <c r="I67" s="1">
        <f t="shared" si="1"/>
        <v>8.24971E-5</v>
      </c>
      <c r="J67" s="1">
        <f t="shared" si="2"/>
        <v>2.4611306682577563E-7</v>
      </c>
      <c r="L67" s="1">
        <v>346500</v>
      </c>
      <c r="M67" s="1">
        <v>31.748000000000001</v>
      </c>
      <c r="N67" s="1">
        <v>0</v>
      </c>
      <c r="O67" s="1">
        <f t="shared" si="3"/>
        <v>34.65</v>
      </c>
      <c r="P67" s="1">
        <f t="shared" si="4"/>
        <v>9.4713603818615732E-8</v>
      </c>
    </row>
    <row r="68" spans="4:16" x14ac:dyDescent="0.25">
      <c r="D68" s="1">
        <v>352000</v>
      </c>
      <c r="E68" s="1">
        <v>3.25416E-5</v>
      </c>
      <c r="F68" s="1">
        <v>5.4508300000000001E-5</v>
      </c>
      <c r="H68" s="1">
        <f t="shared" si="0"/>
        <v>35.200000000000003</v>
      </c>
      <c r="I68" s="1">
        <f t="shared" si="1"/>
        <v>8.7049899999999995E-5</v>
      </c>
      <c r="J68" s="1">
        <f t="shared" si="2"/>
        <v>2.5969540572792358E-7</v>
      </c>
      <c r="L68" s="1">
        <v>352000</v>
      </c>
      <c r="M68" s="1">
        <v>45.738</v>
      </c>
      <c r="N68" s="1">
        <v>0</v>
      </c>
      <c r="O68" s="1">
        <f t="shared" si="3"/>
        <v>35.200000000000003</v>
      </c>
      <c r="P68" s="1">
        <f t="shared" si="4"/>
        <v>1.3644988066825775E-7</v>
      </c>
    </row>
    <row r="69" spans="4:16" x14ac:dyDescent="0.25">
      <c r="D69" s="1">
        <v>357500</v>
      </c>
      <c r="E69" s="1">
        <v>3.53381E-5</v>
      </c>
      <c r="F69" s="1">
        <v>6.1966900000000005E-5</v>
      </c>
      <c r="H69" s="1">
        <f t="shared" si="0"/>
        <v>35.75</v>
      </c>
      <c r="I69" s="1">
        <f t="shared" si="1"/>
        <v>9.7305000000000004E-5</v>
      </c>
      <c r="J69" s="1">
        <f t="shared" si="2"/>
        <v>2.9028937947494028E-7</v>
      </c>
      <c r="L69" s="1">
        <v>357500</v>
      </c>
      <c r="M69" s="1">
        <v>50.042999999999999</v>
      </c>
      <c r="N69" s="1">
        <v>0</v>
      </c>
      <c r="O69" s="1">
        <f t="shared" si="3"/>
        <v>35.75</v>
      </c>
      <c r="P69" s="1">
        <f t="shared" si="4"/>
        <v>1.4929295942720763E-7</v>
      </c>
    </row>
    <row r="70" spans="4:16" x14ac:dyDescent="0.25">
      <c r="D70" s="1">
        <v>363000</v>
      </c>
      <c r="E70" s="1">
        <v>3.8588999999999999E-5</v>
      </c>
      <c r="F70" s="1">
        <v>6.5272100000000001E-5</v>
      </c>
      <c r="H70" s="1">
        <f t="shared" ref="H70:H104" si="5">D70/10000</f>
        <v>36.299999999999997</v>
      </c>
      <c r="I70" s="1">
        <f t="shared" ref="I70:I104" si="6">E70+F70</f>
        <v>1.0386109999999999E-4</v>
      </c>
      <c r="J70" s="1">
        <f t="shared" ref="J70:J104" si="7">I70*10^8*$B$1*10^-6*$B$2/($B$3)</f>
        <v>3.0984815035799514E-7</v>
      </c>
      <c r="L70" s="1">
        <v>363000</v>
      </c>
      <c r="M70" s="1">
        <v>73.180999999999997</v>
      </c>
      <c r="N70" s="1">
        <v>0</v>
      </c>
      <c r="O70" s="1">
        <f t="shared" ref="O70:O104" si="8">L70/10000</f>
        <v>36.299999999999997</v>
      </c>
      <c r="P70" s="1">
        <f t="shared" ref="P70:P104" si="9">M70*$B$1*10^-6*$B$2/($B$3)*100</f>
        <v>2.183204057279236E-7</v>
      </c>
    </row>
    <row r="71" spans="4:16" x14ac:dyDescent="0.25">
      <c r="D71" s="1">
        <v>368500</v>
      </c>
      <c r="E71" s="1">
        <v>4.2815999999999998E-5</v>
      </c>
      <c r="F71" s="1">
        <v>6.9206200000000002E-5</v>
      </c>
      <c r="H71" s="1">
        <f t="shared" si="5"/>
        <v>36.85</v>
      </c>
      <c r="I71" s="1">
        <f t="shared" si="6"/>
        <v>1.1202219999999999E-4</v>
      </c>
      <c r="J71" s="1">
        <f t="shared" si="7"/>
        <v>3.3419510739856797E-7</v>
      </c>
      <c r="L71" s="1">
        <v>368500</v>
      </c>
      <c r="M71" s="1">
        <v>89.323999999999998</v>
      </c>
      <c r="N71" s="1">
        <v>0</v>
      </c>
      <c r="O71" s="1">
        <f t="shared" si="8"/>
        <v>36.85</v>
      </c>
      <c r="P71" s="1">
        <f t="shared" si="9"/>
        <v>2.6647971360381861E-7</v>
      </c>
    </row>
    <row r="72" spans="4:16" x14ac:dyDescent="0.25">
      <c r="D72" s="1">
        <v>374000</v>
      </c>
      <c r="E72" s="1">
        <v>4.8070199999999999E-5</v>
      </c>
      <c r="F72" s="1">
        <v>7.3706499999999996E-5</v>
      </c>
      <c r="H72" s="1">
        <f t="shared" si="5"/>
        <v>37.4</v>
      </c>
      <c r="I72" s="1">
        <f t="shared" si="6"/>
        <v>1.217767E-4</v>
      </c>
      <c r="J72" s="1">
        <f t="shared" si="7"/>
        <v>3.6329564439140805E-7</v>
      </c>
      <c r="L72" s="1">
        <v>374000</v>
      </c>
      <c r="M72" s="1">
        <v>132.1</v>
      </c>
      <c r="N72" s="1">
        <v>0</v>
      </c>
      <c r="O72" s="1">
        <f t="shared" si="8"/>
        <v>37.4</v>
      </c>
      <c r="P72" s="1">
        <f t="shared" si="9"/>
        <v>3.9409307875894983E-7</v>
      </c>
    </row>
    <row r="73" spans="4:16" x14ac:dyDescent="0.25">
      <c r="D73" s="1">
        <v>379500</v>
      </c>
      <c r="E73" s="1">
        <v>5.5709499999999999E-5</v>
      </c>
      <c r="F73" s="1">
        <v>8.1151300000000003E-5</v>
      </c>
      <c r="H73" s="1">
        <f t="shared" si="5"/>
        <v>37.950000000000003</v>
      </c>
      <c r="I73" s="1">
        <f t="shared" si="6"/>
        <v>1.3686079999999999E-4</v>
      </c>
      <c r="J73" s="1">
        <f t="shared" si="7"/>
        <v>4.0829594272076365E-7</v>
      </c>
      <c r="L73" s="1">
        <v>379500</v>
      </c>
      <c r="M73" s="1">
        <v>199.1</v>
      </c>
      <c r="N73" s="1">
        <v>0</v>
      </c>
      <c r="O73" s="1">
        <f t="shared" si="8"/>
        <v>37.950000000000003</v>
      </c>
      <c r="P73" s="1">
        <f t="shared" si="9"/>
        <v>5.9397374701670635E-7</v>
      </c>
    </row>
    <row r="74" spans="4:16" x14ac:dyDescent="0.25">
      <c r="D74" s="1">
        <v>385000</v>
      </c>
      <c r="E74" s="1">
        <v>6.7027300000000001E-5</v>
      </c>
      <c r="F74" s="1">
        <v>8.8114899999999999E-5</v>
      </c>
      <c r="H74" s="1">
        <f t="shared" si="5"/>
        <v>38.5</v>
      </c>
      <c r="I74" s="1">
        <f t="shared" si="6"/>
        <v>1.551422E-4</v>
      </c>
      <c r="J74" s="1">
        <f t="shared" si="7"/>
        <v>4.628347255369928E-7</v>
      </c>
      <c r="L74" s="1">
        <v>385000</v>
      </c>
      <c r="M74" s="1">
        <v>326.08999999999997</v>
      </c>
      <c r="N74" s="1">
        <v>0</v>
      </c>
      <c r="O74" s="1">
        <f t="shared" si="8"/>
        <v>38.5</v>
      </c>
      <c r="P74" s="1">
        <f t="shared" si="9"/>
        <v>9.7282219570405714E-7</v>
      </c>
    </row>
    <row r="75" spans="4:16" x14ac:dyDescent="0.25">
      <c r="D75" s="1">
        <v>390500</v>
      </c>
      <c r="E75" s="1">
        <v>8.2348799999999993E-5</v>
      </c>
      <c r="F75" s="1">
        <v>1.04527E-4</v>
      </c>
      <c r="H75" s="1">
        <f t="shared" si="5"/>
        <v>39.049999999999997</v>
      </c>
      <c r="I75" s="1">
        <f t="shared" si="6"/>
        <v>1.8687579999999998E-4</v>
      </c>
      <c r="J75" s="1">
        <f t="shared" si="7"/>
        <v>5.5750536992840079E-7</v>
      </c>
      <c r="L75" s="1">
        <v>390500</v>
      </c>
      <c r="M75" s="1">
        <v>544.29</v>
      </c>
      <c r="N75" s="1">
        <v>0</v>
      </c>
      <c r="O75" s="1">
        <f t="shared" si="8"/>
        <v>39.049999999999997</v>
      </c>
      <c r="P75" s="1">
        <f t="shared" si="9"/>
        <v>1.6237768496420046E-6</v>
      </c>
    </row>
    <row r="76" spans="4:16" x14ac:dyDescent="0.25">
      <c r="D76" s="1">
        <v>396000</v>
      </c>
      <c r="E76" s="1">
        <v>1.04597E-4</v>
      </c>
      <c r="F76" s="1">
        <v>1.1849399999999999E-4</v>
      </c>
      <c r="H76" s="1">
        <f t="shared" si="5"/>
        <v>39.6</v>
      </c>
      <c r="I76" s="1">
        <f t="shared" si="6"/>
        <v>2.23091E-4</v>
      </c>
      <c r="J76" s="1">
        <f t="shared" si="7"/>
        <v>6.6554594272076355E-7</v>
      </c>
      <c r="L76" s="1">
        <v>396000</v>
      </c>
      <c r="M76" s="1">
        <v>950.01</v>
      </c>
      <c r="N76" s="1">
        <v>0</v>
      </c>
      <c r="O76" s="1">
        <f t="shared" si="8"/>
        <v>39.6</v>
      </c>
      <c r="P76" s="1">
        <f t="shared" si="9"/>
        <v>2.8341587112171832E-6</v>
      </c>
    </row>
    <row r="77" spans="4:16" x14ac:dyDescent="0.25">
      <c r="D77" s="1">
        <v>401500</v>
      </c>
      <c r="E77" s="1">
        <v>1.33294E-4</v>
      </c>
      <c r="F77" s="1">
        <v>1.2946499999999999E-4</v>
      </c>
      <c r="H77" s="1">
        <f t="shared" si="5"/>
        <v>40.15</v>
      </c>
      <c r="I77" s="1">
        <f t="shared" si="6"/>
        <v>2.62759E-4</v>
      </c>
      <c r="J77" s="1">
        <f t="shared" si="7"/>
        <v>7.838872315035798E-7</v>
      </c>
      <c r="L77" s="1">
        <v>401500</v>
      </c>
      <c r="M77" s="1">
        <v>1623.7</v>
      </c>
      <c r="N77" s="1">
        <v>0</v>
      </c>
      <c r="O77" s="1">
        <f t="shared" si="8"/>
        <v>40.15</v>
      </c>
      <c r="P77" s="1">
        <f t="shared" si="9"/>
        <v>4.8439737470167063E-6</v>
      </c>
    </row>
    <row r="78" spans="4:16" x14ac:dyDescent="0.25">
      <c r="D78" s="1">
        <v>407000</v>
      </c>
      <c r="E78" s="1">
        <v>1.5882799999999999E-4</v>
      </c>
      <c r="F78" s="1">
        <v>1.34568E-4</v>
      </c>
      <c r="H78" s="1">
        <f t="shared" si="5"/>
        <v>40.700000000000003</v>
      </c>
      <c r="I78" s="1">
        <f t="shared" si="6"/>
        <v>2.9339600000000002E-4</v>
      </c>
      <c r="J78" s="1">
        <f t="shared" si="7"/>
        <v>8.7528639618138417E-7</v>
      </c>
      <c r="L78" s="1">
        <v>407000</v>
      </c>
      <c r="M78" s="1">
        <v>2439.1999999999998</v>
      </c>
      <c r="N78" s="1">
        <v>0</v>
      </c>
      <c r="O78" s="1">
        <f t="shared" si="8"/>
        <v>40.700000000000003</v>
      </c>
      <c r="P78" s="1">
        <f t="shared" si="9"/>
        <v>7.276849642004772E-6</v>
      </c>
    </row>
    <row r="79" spans="4:16" x14ac:dyDescent="0.25">
      <c r="D79" s="1">
        <v>412500</v>
      </c>
      <c r="E79" s="1">
        <v>1.6398500000000001E-4</v>
      </c>
      <c r="F79" s="1">
        <v>1.1996400000000001E-4</v>
      </c>
      <c r="H79" s="1">
        <f t="shared" si="5"/>
        <v>41.25</v>
      </c>
      <c r="I79" s="1">
        <f t="shared" si="6"/>
        <v>2.8394900000000003E-4</v>
      </c>
      <c r="J79" s="1">
        <f t="shared" si="7"/>
        <v>8.4710322195704044E-7</v>
      </c>
      <c r="L79" s="1">
        <v>412500</v>
      </c>
      <c r="M79" s="1">
        <v>3025.5</v>
      </c>
      <c r="N79" s="1">
        <v>0</v>
      </c>
      <c r="O79" s="1">
        <f t="shared" si="8"/>
        <v>41.25</v>
      </c>
      <c r="P79" s="1">
        <f t="shared" si="9"/>
        <v>9.0259546539379452E-6</v>
      </c>
    </row>
    <row r="80" spans="4:16" x14ac:dyDescent="0.25">
      <c r="D80" s="1">
        <v>418000</v>
      </c>
      <c r="E80" s="1">
        <v>1.4487199999999999E-4</v>
      </c>
      <c r="F80" s="1">
        <v>9.4156700000000006E-5</v>
      </c>
      <c r="H80" s="1">
        <f t="shared" si="5"/>
        <v>41.8</v>
      </c>
      <c r="I80" s="1">
        <f t="shared" si="6"/>
        <v>2.3902869999999998E-4</v>
      </c>
      <c r="J80" s="1">
        <f t="shared" si="7"/>
        <v>7.1309278042959411E-7</v>
      </c>
      <c r="L80" s="1">
        <v>418000</v>
      </c>
      <c r="M80" s="1">
        <v>3083</v>
      </c>
      <c r="N80" s="1">
        <v>0</v>
      </c>
      <c r="O80" s="1">
        <f t="shared" si="8"/>
        <v>41.8</v>
      </c>
      <c r="P80" s="1">
        <f t="shared" si="9"/>
        <v>9.1974940334128865E-6</v>
      </c>
    </row>
    <row r="81" spans="4:16" x14ac:dyDescent="0.25">
      <c r="D81" s="1">
        <v>423500</v>
      </c>
      <c r="E81" s="1">
        <v>1.04925E-4</v>
      </c>
      <c r="F81" s="1">
        <v>6.0631999999999998E-5</v>
      </c>
      <c r="H81" s="1">
        <f t="shared" si="5"/>
        <v>42.35</v>
      </c>
      <c r="I81" s="1">
        <f t="shared" si="6"/>
        <v>1.6555699999999999E-4</v>
      </c>
      <c r="J81" s="1">
        <f t="shared" si="7"/>
        <v>4.9390513126491636E-7</v>
      </c>
      <c r="L81" s="1">
        <v>423500</v>
      </c>
      <c r="M81" s="1">
        <v>2502.1999999999998</v>
      </c>
      <c r="N81" s="1">
        <v>0</v>
      </c>
      <c r="O81" s="1">
        <f t="shared" si="8"/>
        <v>42.35</v>
      </c>
      <c r="P81" s="1">
        <f t="shared" si="9"/>
        <v>7.464797136038185E-6</v>
      </c>
    </row>
    <row r="82" spans="4:16" x14ac:dyDescent="0.25">
      <c r="D82" s="1">
        <v>429000</v>
      </c>
      <c r="E82" s="1">
        <v>6.0732400000000001E-5</v>
      </c>
      <c r="F82" s="1">
        <v>3.2924299999999999E-5</v>
      </c>
      <c r="H82" s="1">
        <f t="shared" si="5"/>
        <v>42.9</v>
      </c>
      <c r="I82" s="1">
        <f t="shared" si="6"/>
        <v>9.3656700000000007E-5</v>
      </c>
      <c r="J82" s="1">
        <f t="shared" si="7"/>
        <v>2.7940542959427199E-7</v>
      </c>
      <c r="L82" s="1">
        <v>429000</v>
      </c>
      <c r="M82" s="1">
        <v>1588.5</v>
      </c>
      <c r="N82" s="1">
        <v>0</v>
      </c>
      <c r="O82" s="1">
        <f t="shared" si="8"/>
        <v>42.9</v>
      </c>
      <c r="P82" s="1">
        <f t="shared" si="9"/>
        <v>4.7389618138424828E-6</v>
      </c>
    </row>
    <row r="83" spans="4:16" x14ac:dyDescent="0.25">
      <c r="D83" s="1">
        <v>434500</v>
      </c>
      <c r="E83" s="1">
        <v>2.79274E-5</v>
      </c>
      <c r="F83" s="1">
        <v>1.28243E-5</v>
      </c>
      <c r="H83" s="1">
        <f t="shared" si="5"/>
        <v>43.45</v>
      </c>
      <c r="I83" s="1">
        <f t="shared" si="6"/>
        <v>4.0751699999999998E-5</v>
      </c>
      <c r="J83" s="1">
        <f t="shared" si="7"/>
        <v>1.2157428400954654E-7</v>
      </c>
      <c r="L83" s="1">
        <v>434500</v>
      </c>
      <c r="M83" s="1">
        <v>802.31</v>
      </c>
      <c r="N83" s="1">
        <v>0</v>
      </c>
      <c r="O83" s="1">
        <f t="shared" si="8"/>
        <v>43.45</v>
      </c>
      <c r="P83" s="1">
        <f t="shared" si="9"/>
        <v>2.3935262529832926E-6</v>
      </c>
    </row>
    <row r="84" spans="4:16" x14ac:dyDescent="0.25">
      <c r="D84" s="1">
        <v>440000</v>
      </c>
      <c r="E84" s="1">
        <v>1.0384700000000001E-5</v>
      </c>
      <c r="F84" s="1">
        <v>4.5623700000000002E-6</v>
      </c>
      <c r="H84" s="1">
        <f t="shared" si="5"/>
        <v>44</v>
      </c>
      <c r="I84" s="1">
        <f t="shared" si="6"/>
        <v>1.4947070000000001E-5</v>
      </c>
      <c r="J84" s="1">
        <f t="shared" si="7"/>
        <v>4.4591497613365153E-8</v>
      </c>
      <c r="L84" s="1">
        <v>440000</v>
      </c>
      <c r="M84" s="1">
        <v>329.32</v>
      </c>
      <c r="N84" s="1">
        <v>0</v>
      </c>
      <c r="O84" s="1">
        <f t="shared" si="8"/>
        <v>44</v>
      </c>
      <c r="P84" s="1">
        <f t="shared" si="9"/>
        <v>9.8245823389021481E-7</v>
      </c>
    </row>
    <row r="85" spans="4:16" x14ac:dyDescent="0.25">
      <c r="D85" s="1">
        <v>445500</v>
      </c>
      <c r="E85" s="1">
        <v>3.0035499999999998E-6</v>
      </c>
      <c r="F85" s="1">
        <v>1.15554E-6</v>
      </c>
      <c r="H85" s="1">
        <f t="shared" si="5"/>
        <v>44.55</v>
      </c>
      <c r="I85" s="1">
        <f t="shared" si="6"/>
        <v>4.1590899999999998E-6</v>
      </c>
      <c r="J85" s="1">
        <f t="shared" si="7"/>
        <v>1.2407786396181383E-8</v>
      </c>
      <c r="L85" s="1">
        <v>445500</v>
      </c>
      <c r="M85" s="1">
        <v>93.629000000000005</v>
      </c>
      <c r="N85" s="1">
        <v>0</v>
      </c>
      <c r="O85" s="1">
        <f t="shared" si="8"/>
        <v>44.55</v>
      </c>
      <c r="P85" s="1">
        <f t="shared" si="9"/>
        <v>2.7932279236276849E-7</v>
      </c>
    </row>
    <row r="86" spans="4:16" x14ac:dyDescent="0.25">
      <c r="D86" s="1">
        <v>451000</v>
      </c>
      <c r="E86" s="1">
        <v>7.1525899999999999E-7</v>
      </c>
      <c r="F86" s="1">
        <v>2.5841899999999998E-7</v>
      </c>
      <c r="H86" s="1">
        <f t="shared" si="5"/>
        <v>45.1</v>
      </c>
      <c r="I86" s="1">
        <f t="shared" si="6"/>
        <v>9.7367799999999991E-7</v>
      </c>
      <c r="J86" s="1">
        <f t="shared" si="7"/>
        <v>2.9047673031026247E-9</v>
      </c>
      <c r="L86" s="1">
        <v>451000</v>
      </c>
      <c r="M86" s="1">
        <v>24.483000000000001</v>
      </c>
      <c r="N86" s="1">
        <v>0</v>
      </c>
      <c r="O86" s="1">
        <f t="shared" si="8"/>
        <v>45.1</v>
      </c>
      <c r="P86" s="1">
        <f t="shared" si="9"/>
        <v>7.3039976133651545E-8</v>
      </c>
    </row>
    <row r="87" spans="4:16" x14ac:dyDescent="0.25">
      <c r="D87" s="1">
        <v>456500</v>
      </c>
      <c r="E87" s="1">
        <v>8.6046099999999994E-8</v>
      </c>
      <c r="F87" s="1">
        <v>3.84443E-8</v>
      </c>
      <c r="H87" s="1">
        <f t="shared" si="5"/>
        <v>45.65</v>
      </c>
      <c r="I87" s="1">
        <f t="shared" si="6"/>
        <v>1.2449039999999999E-7</v>
      </c>
      <c r="J87" s="1">
        <f t="shared" si="7"/>
        <v>3.7139140811455845E-10</v>
      </c>
      <c r="L87" s="1">
        <v>456500</v>
      </c>
      <c r="M87" s="1">
        <v>3.4975999999999998</v>
      </c>
      <c r="N87" s="1">
        <v>0</v>
      </c>
      <c r="O87" s="1">
        <f t="shared" si="8"/>
        <v>45.65</v>
      </c>
      <c r="P87" s="1">
        <f t="shared" si="9"/>
        <v>1.0434367541766108E-8</v>
      </c>
    </row>
    <row r="88" spans="4:16" x14ac:dyDescent="0.25">
      <c r="D88" s="1">
        <v>462000</v>
      </c>
      <c r="E88" s="1">
        <v>1.07558E-8</v>
      </c>
      <c r="F88" s="1">
        <v>4.1106500000000002E-10</v>
      </c>
      <c r="H88" s="1">
        <f t="shared" si="5"/>
        <v>46.2</v>
      </c>
      <c r="I88" s="1">
        <f t="shared" si="6"/>
        <v>1.1166865E-8</v>
      </c>
      <c r="J88" s="1">
        <f t="shared" si="7"/>
        <v>3.3314036396181382E-11</v>
      </c>
      <c r="L88" s="1">
        <v>462000</v>
      </c>
      <c r="M88" s="1">
        <v>0.80715000000000003</v>
      </c>
      <c r="N88" s="1">
        <v>0</v>
      </c>
      <c r="O88" s="1">
        <f t="shared" si="8"/>
        <v>46.2</v>
      </c>
      <c r="P88" s="1">
        <f t="shared" si="9"/>
        <v>2.4079653937947496E-9</v>
      </c>
    </row>
    <row r="89" spans="4:16" x14ac:dyDescent="0.25">
      <c r="D89" s="1">
        <v>467500</v>
      </c>
      <c r="E89" s="1">
        <v>0</v>
      </c>
      <c r="F89" s="1">
        <v>0</v>
      </c>
      <c r="H89" s="1">
        <f t="shared" si="5"/>
        <v>46.75</v>
      </c>
      <c r="I89" s="1">
        <f t="shared" si="6"/>
        <v>0</v>
      </c>
      <c r="J89" s="1">
        <f t="shared" si="7"/>
        <v>0</v>
      </c>
      <c r="L89" s="1">
        <v>467500</v>
      </c>
      <c r="M89" s="1">
        <v>0</v>
      </c>
      <c r="N89" s="1">
        <v>0</v>
      </c>
      <c r="O89" s="1">
        <f t="shared" si="8"/>
        <v>46.75</v>
      </c>
      <c r="P89" s="1">
        <f t="shared" si="9"/>
        <v>0</v>
      </c>
    </row>
    <row r="90" spans="4:16" x14ac:dyDescent="0.25">
      <c r="D90" s="1">
        <v>473000</v>
      </c>
      <c r="E90" s="1">
        <v>0</v>
      </c>
      <c r="F90" s="1">
        <v>0</v>
      </c>
      <c r="H90" s="1">
        <f t="shared" si="5"/>
        <v>47.3</v>
      </c>
      <c r="I90" s="1">
        <f t="shared" si="6"/>
        <v>0</v>
      </c>
      <c r="J90" s="1">
        <f t="shared" si="7"/>
        <v>0</v>
      </c>
      <c r="L90" s="1">
        <v>473000</v>
      </c>
      <c r="M90" s="1">
        <v>0</v>
      </c>
      <c r="N90" s="1">
        <v>0</v>
      </c>
      <c r="O90" s="1">
        <f t="shared" si="8"/>
        <v>47.3</v>
      </c>
      <c r="P90" s="1">
        <f t="shared" si="9"/>
        <v>0</v>
      </c>
    </row>
    <row r="91" spans="4:16" x14ac:dyDescent="0.25">
      <c r="D91" s="1">
        <v>478500</v>
      </c>
      <c r="E91" s="1">
        <v>0</v>
      </c>
      <c r="F91" s="1">
        <v>0</v>
      </c>
      <c r="H91" s="1">
        <f t="shared" si="5"/>
        <v>47.85</v>
      </c>
      <c r="I91" s="1">
        <f t="shared" si="6"/>
        <v>0</v>
      </c>
      <c r="J91" s="1">
        <f t="shared" si="7"/>
        <v>0</v>
      </c>
      <c r="L91" s="1">
        <v>478500</v>
      </c>
      <c r="M91" s="1">
        <v>0</v>
      </c>
      <c r="N91" s="1">
        <v>0</v>
      </c>
      <c r="O91" s="1">
        <f t="shared" si="8"/>
        <v>47.85</v>
      </c>
      <c r="P91" s="1">
        <f t="shared" si="9"/>
        <v>0</v>
      </c>
    </row>
    <row r="92" spans="4:16" x14ac:dyDescent="0.25">
      <c r="D92" s="1">
        <v>484000</v>
      </c>
      <c r="E92" s="1">
        <v>0</v>
      </c>
      <c r="F92" s="1">
        <v>0</v>
      </c>
      <c r="H92" s="1">
        <f t="shared" si="5"/>
        <v>48.4</v>
      </c>
      <c r="I92" s="1">
        <f t="shared" si="6"/>
        <v>0</v>
      </c>
      <c r="J92" s="1">
        <f t="shared" si="7"/>
        <v>0</v>
      </c>
      <c r="L92" s="1">
        <v>484000</v>
      </c>
      <c r="M92" s="1">
        <v>0</v>
      </c>
      <c r="N92" s="1">
        <v>0</v>
      </c>
      <c r="O92" s="1">
        <f t="shared" si="8"/>
        <v>48.4</v>
      </c>
      <c r="P92" s="1">
        <f t="shared" si="9"/>
        <v>0</v>
      </c>
    </row>
    <row r="93" spans="4:16" x14ac:dyDescent="0.25">
      <c r="D93" s="1">
        <v>489500</v>
      </c>
      <c r="E93" s="1">
        <v>0</v>
      </c>
      <c r="F93" s="1">
        <v>0</v>
      </c>
      <c r="H93" s="1">
        <f t="shared" si="5"/>
        <v>48.95</v>
      </c>
      <c r="I93" s="1">
        <f t="shared" si="6"/>
        <v>0</v>
      </c>
      <c r="J93" s="1">
        <f t="shared" si="7"/>
        <v>0</v>
      </c>
      <c r="L93" s="1">
        <v>489500</v>
      </c>
      <c r="M93" s="1">
        <v>0</v>
      </c>
      <c r="N93" s="1">
        <v>0</v>
      </c>
      <c r="O93" s="1">
        <f t="shared" si="8"/>
        <v>48.95</v>
      </c>
      <c r="P93" s="1">
        <f t="shared" si="9"/>
        <v>0</v>
      </c>
    </row>
    <row r="94" spans="4:16" x14ac:dyDescent="0.25">
      <c r="D94" s="1">
        <v>495000</v>
      </c>
      <c r="E94" s="1">
        <v>0</v>
      </c>
      <c r="F94" s="1">
        <v>0</v>
      </c>
      <c r="H94" s="1">
        <f t="shared" si="5"/>
        <v>49.5</v>
      </c>
      <c r="I94" s="1">
        <f t="shared" si="6"/>
        <v>0</v>
      </c>
      <c r="J94" s="1">
        <f t="shared" si="7"/>
        <v>0</v>
      </c>
      <c r="L94" s="1">
        <v>495000</v>
      </c>
      <c r="M94" s="1">
        <v>0</v>
      </c>
      <c r="N94" s="1">
        <v>0</v>
      </c>
      <c r="O94" s="1">
        <f t="shared" si="8"/>
        <v>49.5</v>
      </c>
      <c r="P94" s="1">
        <f t="shared" si="9"/>
        <v>0</v>
      </c>
    </row>
    <row r="95" spans="4:16" x14ac:dyDescent="0.25">
      <c r="D95" s="1">
        <v>500500</v>
      </c>
      <c r="E95" s="1">
        <v>0</v>
      </c>
      <c r="F95" s="1">
        <v>0</v>
      </c>
      <c r="H95" s="1">
        <f t="shared" si="5"/>
        <v>50.05</v>
      </c>
      <c r="I95" s="1">
        <f t="shared" si="6"/>
        <v>0</v>
      </c>
      <c r="J95" s="1">
        <f t="shared" si="7"/>
        <v>0</v>
      </c>
      <c r="L95" s="1">
        <v>500500</v>
      </c>
      <c r="M95" s="1">
        <v>0</v>
      </c>
      <c r="N95" s="1">
        <v>0</v>
      </c>
      <c r="O95" s="1">
        <f t="shared" si="8"/>
        <v>50.05</v>
      </c>
      <c r="P95" s="1">
        <f t="shared" si="9"/>
        <v>0</v>
      </c>
    </row>
    <row r="96" spans="4:16" x14ac:dyDescent="0.25">
      <c r="D96" s="1">
        <v>506000</v>
      </c>
      <c r="E96" s="1">
        <v>0</v>
      </c>
      <c r="F96" s="1">
        <v>0</v>
      </c>
      <c r="H96" s="1">
        <f t="shared" si="5"/>
        <v>50.6</v>
      </c>
      <c r="I96" s="1">
        <f t="shared" si="6"/>
        <v>0</v>
      </c>
      <c r="J96" s="1">
        <f t="shared" si="7"/>
        <v>0</v>
      </c>
      <c r="L96" s="1">
        <v>506000</v>
      </c>
      <c r="M96" s="1">
        <v>0</v>
      </c>
      <c r="N96" s="1">
        <v>0</v>
      </c>
      <c r="O96" s="1">
        <f t="shared" si="8"/>
        <v>50.6</v>
      </c>
      <c r="P96" s="1">
        <f t="shared" si="9"/>
        <v>0</v>
      </c>
    </row>
    <row r="97" spans="4:16" x14ac:dyDescent="0.25">
      <c r="D97" s="1">
        <v>511500</v>
      </c>
      <c r="E97" s="1">
        <v>0</v>
      </c>
      <c r="F97" s="1">
        <v>0</v>
      </c>
      <c r="H97" s="1">
        <f t="shared" si="5"/>
        <v>51.15</v>
      </c>
      <c r="I97" s="1">
        <f t="shared" si="6"/>
        <v>0</v>
      </c>
      <c r="J97" s="1">
        <f t="shared" si="7"/>
        <v>0</v>
      </c>
      <c r="L97" s="1">
        <v>511500</v>
      </c>
      <c r="M97" s="1">
        <v>0</v>
      </c>
      <c r="N97" s="1">
        <v>0</v>
      </c>
      <c r="O97" s="1">
        <f t="shared" si="8"/>
        <v>51.15</v>
      </c>
      <c r="P97" s="1">
        <f t="shared" si="9"/>
        <v>0</v>
      </c>
    </row>
    <row r="98" spans="4:16" x14ac:dyDescent="0.25">
      <c r="D98" s="1">
        <v>517000</v>
      </c>
      <c r="E98" s="1">
        <v>0</v>
      </c>
      <c r="F98" s="1">
        <v>0</v>
      </c>
      <c r="H98" s="1">
        <f t="shared" si="5"/>
        <v>51.7</v>
      </c>
      <c r="I98" s="1">
        <f t="shared" si="6"/>
        <v>0</v>
      </c>
      <c r="J98" s="1">
        <f t="shared" si="7"/>
        <v>0</v>
      </c>
      <c r="L98" s="1">
        <v>517000</v>
      </c>
      <c r="M98" s="1">
        <v>0</v>
      </c>
      <c r="N98" s="1">
        <v>0</v>
      </c>
      <c r="O98" s="1">
        <f t="shared" si="8"/>
        <v>51.7</v>
      </c>
      <c r="P98" s="1">
        <f t="shared" si="9"/>
        <v>0</v>
      </c>
    </row>
    <row r="99" spans="4:16" x14ac:dyDescent="0.25">
      <c r="D99" s="1">
        <v>522500</v>
      </c>
      <c r="E99" s="1">
        <v>0</v>
      </c>
      <c r="F99" s="1">
        <v>0</v>
      </c>
      <c r="H99" s="1">
        <f t="shared" si="5"/>
        <v>52.25</v>
      </c>
      <c r="I99" s="1">
        <f t="shared" si="6"/>
        <v>0</v>
      </c>
      <c r="J99" s="1">
        <f t="shared" si="7"/>
        <v>0</v>
      </c>
      <c r="L99" s="1">
        <v>522500</v>
      </c>
      <c r="M99" s="1">
        <v>0</v>
      </c>
      <c r="N99" s="1">
        <v>0</v>
      </c>
      <c r="O99" s="1">
        <f t="shared" si="8"/>
        <v>52.25</v>
      </c>
      <c r="P99" s="1">
        <f t="shared" si="9"/>
        <v>0</v>
      </c>
    </row>
    <row r="100" spans="4:16" x14ac:dyDescent="0.25">
      <c r="D100" s="1">
        <v>528000</v>
      </c>
      <c r="E100" s="1">
        <v>0</v>
      </c>
      <c r="F100" s="1">
        <v>0</v>
      </c>
      <c r="H100" s="1">
        <f t="shared" si="5"/>
        <v>52.8</v>
      </c>
      <c r="I100" s="1">
        <f t="shared" si="6"/>
        <v>0</v>
      </c>
      <c r="J100" s="1">
        <f t="shared" si="7"/>
        <v>0</v>
      </c>
      <c r="L100" s="1">
        <v>528000</v>
      </c>
      <c r="M100" s="1">
        <v>0</v>
      </c>
      <c r="N100" s="1">
        <v>0</v>
      </c>
      <c r="O100" s="1">
        <f t="shared" si="8"/>
        <v>52.8</v>
      </c>
      <c r="P100" s="1">
        <f t="shared" si="9"/>
        <v>0</v>
      </c>
    </row>
    <row r="101" spans="4:16" x14ac:dyDescent="0.25">
      <c r="D101" s="1">
        <v>533500</v>
      </c>
      <c r="E101" s="1">
        <v>0</v>
      </c>
      <c r="F101" s="1">
        <v>0</v>
      </c>
      <c r="H101" s="1">
        <f t="shared" si="5"/>
        <v>53.35</v>
      </c>
      <c r="I101" s="1">
        <f t="shared" si="6"/>
        <v>0</v>
      </c>
      <c r="J101" s="1">
        <f t="shared" si="7"/>
        <v>0</v>
      </c>
      <c r="L101" s="1">
        <v>533500</v>
      </c>
      <c r="M101" s="1">
        <v>0</v>
      </c>
      <c r="N101" s="1">
        <v>0</v>
      </c>
      <c r="O101" s="1">
        <f t="shared" si="8"/>
        <v>53.35</v>
      </c>
      <c r="P101" s="1">
        <f t="shared" si="9"/>
        <v>0</v>
      </c>
    </row>
    <row r="102" spans="4:16" x14ac:dyDescent="0.25">
      <c r="D102" s="1">
        <v>539000</v>
      </c>
      <c r="E102" s="1">
        <v>0</v>
      </c>
      <c r="F102" s="1">
        <v>0</v>
      </c>
      <c r="H102" s="1">
        <f t="shared" si="5"/>
        <v>53.9</v>
      </c>
      <c r="I102" s="1">
        <f t="shared" si="6"/>
        <v>0</v>
      </c>
      <c r="J102" s="1">
        <f t="shared" si="7"/>
        <v>0</v>
      </c>
      <c r="L102" s="1">
        <v>539000</v>
      </c>
      <c r="M102" s="1">
        <v>0</v>
      </c>
      <c r="N102" s="1">
        <v>0</v>
      </c>
      <c r="O102" s="1">
        <f t="shared" si="8"/>
        <v>53.9</v>
      </c>
      <c r="P102" s="1">
        <f t="shared" si="9"/>
        <v>0</v>
      </c>
    </row>
    <row r="103" spans="4:16" x14ac:dyDescent="0.25">
      <c r="D103" s="1">
        <v>544500</v>
      </c>
      <c r="E103" s="1">
        <v>0</v>
      </c>
      <c r="F103" s="1">
        <v>0</v>
      </c>
      <c r="H103" s="1">
        <f t="shared" si="5"/>
        <v>54.45</v>
      </c>
      <c r="I103" s="1">
        <f t="shared" si="6"/>
        <v>0</v>
      </c>
      <c r="J103" s="1">
        <f t="shared" si="7"/>
        <v>0</v>
      </c>
      <c r="L103" s="1">
        <v>544500</v>
      </c>
      <c r="M103" s="1">
        <v>0</v>
      </c>
      <c r="N103" s="1">
        <v>0</v>
      </c>
      <c r="O103" s="1">
        <f t="shared" si="8"/>
        <v>54.45</v>
      </c>
      <c r="P103" s="1">
        <f t="shared" si="9"/>
        <v>0</v>
      </c>
    </row>
    <row r="104" spans="4:16" x14ac:dyDescent="0.25">
      <c r="D104" s="1">
        <v>550000</v>
      </c>
      <c r="E104" s="1">
        <v>0</v>
      </c>
      <c r="F104" s="1">
        <v>0</v>
      </c>
      <c r="H104" s="1">
        <f t="shared" si="5"/>
        <v>55</v>
      </c>
      <c r="I104" s="1">
        <f t="shared" si="6"/>
        <v>0</v>
      </c>
      <c r="J104" s="1">
        <f t="shared" si="7"/>
        <v>0</v>
      </c>
      <c r="L104" s="1">
        <v>550000</v>
      </c>
      <c r="M104" s="1">
        <v>0</v>
      </c>
      <c r="N104" s="1">
        <v>0</v>
      </c>
      <c r="O104" s="1">
        <f t="shared" si="8"/>
        <v>55</v>
      </c>
      <c r="P104" s="1">
        <f t="shared" si="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2025-07-15T15:01:56Z</dcterms:modified>
</cp:coreProperties>
</file>